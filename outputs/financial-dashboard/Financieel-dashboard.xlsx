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0a73103ae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1e7de80b10437e"/>
    <x:sheet xmlns:r="http://schemas.openxmlformats.org/officeDocument/2006/relationships" name="Bank Transactions" sheetId="2" r:id="R64efbe8de6844bb0"/>
    <x:sheet xmlns:r="http://schemas.openxmlformats.org/officeDocument/2006/relationships" name="Business Overview" sheetId="3" r:id="R8054b8babc194801"/>
    <x:sheet xmlns:r="http://schemas.openxmlformats.org/officeDocument/2006/relationships" name="Business Revenue" sheetId="4" r:id="Re78605970474442c"/>
    <x:sheet xmlns:r="http://schemas.openxmlformats.org/officeDocument/2006/relationships" name="Business Expenses" sheetId="5" r:id="Re29ff8152a014fa6"/>
    <x:sheet xmlns:r="http://schemas.openxmlformats.org/officeDocument/2006/relationships" name="Project Profitability" sheetId="6" r:id="R95aae706c737467f"/>
    <x:sheet xmlns:r="http://schemas.openxmlformats.org/officeDocument/2006/relationships" name="Private Overview" sheetId="7" r:id="Ra975c6b11101487a"/>
    <x:sheet xmlns:r="http://schemas.openxmlformats.org/officeDocument/2006/relationships" name="Private Expenses" sheetId="8" r:id="R2b4dd71e72104f90"/>
    <x:sheet xmlns:r="http://schemas.openxmlformats.org/officeDocument/2006/relationships" name="Recurring Expenses" sheetId="9" r:id="Rc0c298e319b0419a"/>
    <x:sheet xmlns:r="http://schemas.openxmlformats.org/officeDocument/2006/relationships" name="Dutch Taxes" sheetId="10" r:id="Reb11fcdd95f845ec"/>
    <x:sheet xmlns:r="http://schemas.openxmlformats.org/officeDocument/2006/relationships" name="Van Purchase" sheetId="11" r:id="Re9f30194c86b4b69"/>
    <x:sheet xmlns:r="http://schemas.openxmlformats.org/officeDocument/2006/relationships" name="Van Conversion" sheetId="12" r:id="Ra890b764a89c4dfc"/>
    <x:sheet xmlns:r="http://schemas.openxmlformats.org/officeDocument/2006/relationships" name="Financial Goals" sheetId="13" r:id="R29b6ad00188e423a"/>
    <x:sheet xmlns:r="http://schemas.openxmlformats.org/officeDocument/2006/relationships" name="Financial Freedom" sheetId="14" r:id="R25f1ad3459504fe9"/>
    <x:sheet xmlns:r="http://schemas.openxmlformats.org/officeDocument/2006/relationships" name="Work &amp; Travel Planning" sheetId="15" r:id="R08b401d8d0704948"/>
    <x:sheet xmlns:r="http://schemas.openxmlformats.org/officeDocument/2006/relationships" name="Cash Flow Forecast" sheetId="16" r:id="R729f4b5dd52d4864"/>
    <x:sheet xmlns:r="http://schemas.openxmlformats.org/officeDocument/2006/relationships" name="Net Worth" sheetId="17" r:id="R6de9348949244a7d"/>
    <x:sheet xmlns:r="http://schemas.openxmlformats.org/officeDocument/2006/relationships" name="Monthly Reports" sheetId="18" r:id="R0476dbb05c764ffa"/>
    <x:sheet xmlns:r="http://schemas.openxmlformats.org/officeDocument/2006/relationships" name="Financial Insights" sheetId="19" r:id="R0275ba843ce84db4"/>
    <x:sheet xmlns:r="http://schemas.openxmlformats.org/officeDocument/2006/relationships" name="Settings &amp; Assumptions" sheetId="20" r:id="Ra71f118b29ac4a20"/>
    <x:sheet xmlns:r="http://schemas.openxmlformats.org/officeDocument/2006/relationships" name="Data Quality &amp; Reconciliation" sheetId="21" r:id="R67f564f5fd5a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-mm-yyyy"/>
    <x:numFmt numFmtId="201" formatCode="0.0%"/>
    <x:numFmt numFmtId="202" formatCode="&quot;€&quot; #,##0;[Red](&quot;€&quot; #,##0);&quot;€&quot; 0"/>
    <x:numFmt numFmtId="203" formatCode="mmm yyyy"/>
    <x:numFmt numFmtId="204" formatCode="0.0"/>
    <x:numFmt numFmtId="205" formatCode="0.00%"/>
    <x:numFmt numFmtId="206" formatCode="0"/>
    <x:numFmt numFmtId="207" formatCode="0%"/>
    <x:numFmt numFmtId="208" formatCode="0.00"/>
  </x:numFmts>
  <x:fonts count="15">
    <x:font>
      <x:sz val="11"/>
      <x:name val="Carlito"/>
    </x:font>
    <x:font>
      <x:sz val="11"/>
      <x:color rgb="FFF3F6FC"/>
      <x:name val="Arial"/>
    </x:font>
    <x:font>
      <x:sz val="20"/>
      <x:color rgb="FFF3F6FC"/>
      <x:name val="Arial"/>
    </x:font>
    <x:font>
      <x:sz val="11"/>
      <x:color rgb="FFB6C5DA"/>
      <x:name val="Arial"/>
    </x:font>
    <x:font>
      <x:b/>
      <x:sz val="11"/>
      <x:color rgb="FFF3F6FC"/>
      <x:name val="Arial"/>
    </x:font>
    <x:font>
      <x:sz val="11"/>
      <x:color rgb="FF6BADFF"/>
      <x:name val="Arial"/>
    </x:font>
    <x:font>
      <x:sz val="11"/>
      <x:color rgb="FF41DBA3"/>
      <x:name val="Arial"/>
    </x:font>
    <x:font>
      <x:sz val="11"/>
      <x:color rgb="FFFFD078"/>
      <x:name val="Arial"/>
    </x:font>
    <x:font>
      <x:b/>
      <x:sz val="23"/>
      <x:color rgb="FF56D9ED"/>
      <x:name val="Arial"/>
    </x:font>
    <x:font>
      <x:b/>
      <x:sz val="23"/>
      <x:color rgb="FFBAA0FF"/>
      <x:name val="Arial"/>
    </x:font>
    <x:font>
      <x:b/>
      <x:sz val="23"/>
      <x:color rgb="FFFF8B88"/>
      <x:name val="Arial"/>
    </x:font>
    <x:font>
      <x:b/>
      <x:sz val="23"/>
      <x:color rgb="FF6BADFF"/>
      <x:name val="Arial"/>
    </x:font>
    <x:font>
      <x:b/>
      <x:sz val="23"/>
      <x:color rgb="FFFFD078"/>
      <x:name val="Arial"/>
    </x:font>
    <x:font>
      <x:b/>
      <x:sz val="23"/>
      <x:color rgb="FF41DBA3"/>
      <x:name val="Arial"/>
    </x:font>
    <x:font>
      <x:b/>
      <x:sz val="23"/>
      <x:color rgb="FFE8C3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1B29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1" fillId="2" borderId="0" xfId="0" applyNumberFormat="1" applyFont="1" applyFill="1" applyBorder="1"/>
    <x:xf numFmtId="200" fontId="1" fillId="2" borderId="0" xfId="0" applyNumberFormat="1" applyFont="1" applyFill="1" applyBorder="1"/>
    <x:xf numFmtId="203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6" fillId="2" borderId="0" xfId="0" applyNumberFormat="1" applyFont="1" applyFill="1" applyBorder="1"/>
    <x:xf numFmtId="201" fontId="6" fillId="2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205" fontId="5" fillId="2" borderId="0" xfId="0" applyNumberFormat="1" applyFont="1" applyFill="1" applyBorder="1"/>
    <x:xf numFmtId="206" fontId="1" fillId="2" borderId="0" xfId="0" applyNumberFormat="1" applyFont="1" applyFill="1" applyBorder="1"/>
    <x:xf numFmtId="206" fontId="6" fillId="2" borderId="0" xfId="0" applyNumberFormat="1" applyFont="1" applyFill="1" applyBorder="1"/>
    <x:xf numFmtId="200" fontId="6" fillId="2" borderId="0" xfId="0" applyNumberFormat="1" applyFont="1" applyFill="1" applyBorder="1"/>
    <x:xf numFmtId="207" fontId="1" fillId="2" borderId="0" xfId="0" applyNumberFormat="1" applyFont="1" applyFill="1" applyBorder="1"/>
    <x:xf numFmtId="208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3" fillId="3" borderId="0" xfId="0" applyNumberFormat="1" applyFont="1" applyFill="1" applyBorder="1"/>
    <x:xf numFmtId="0" fontId="8" fillId="3" borderId="0" xfId="0" applyNumberFormat="1" applyFont="1" applyFill="1" applyBorder="1"/>
    <x:xf numFmtId="202" fontId="8" fillId="3" borderId="0" xfId="0" applyNumberFormat="1" applyFont="1" applyFill="1" applyBorder="1"/>
    <x:xf numFmtId="0" fontId="9" fillId="3" borderId="0" xfId="0" applyNumberFormat="1" applyFont="1" applyFill="1" applyBorder="1"/>
    <x:xf numFmtId="202" fontId="9" fillId="3" borderId="0" xfId="0" applyNumberFormat="1" applyFont="1" applyFill="1" applyBorder="1"/>
    <x:xf numFmtId="0" fontId="10" fillId="3" borderId="0" xfId="0" applyNumberFormat="1" applyFont="1" applyFill="1" applyBorder="1"/>
    <x:xf numFmtId="202" fontId="10" fillId="3" borderId="0" xfId="0" applyNumberFormat="1" applyFont="1" applyFill="1" applyBorder="1"/>
    <x:xf numFmtId="0" fontId="11" fillId="3" borderId="0" xfId="0" applyNumberFormat="1" applyFont="1" applyFill="1" applyBorder="1"/>
    <x:xf numFmtId="202" fontId="11" fillId="3" borderId="0" xfId="0" applyNumberFormat="1" applyFont="1" applyFill="1" applyBorder="1"/>
    <x:xf numFmtId="0" fontId="12" fillId="3" borderId="0" xfId="0" applyNumberFormat="1" applyFont="1" applyFill="1" applyBorder="1"/>
    <x:xf numFmtId="202" fontId="12" fillId="3" borderId="0" xfId="0" applyNumberFormat="1" applyFont="1" applyFill="1" applyBorder="1"/>
    <x:xf numFmtId="0" fontId="13" fillId="3" borderId="0" xfId="0" applyNumberFormat="1" applyFont="1" applyFill="1" applyBorder="1"/>
    <x:xf numFmtId="202" fontId="13" fillId="3" borderId="0" xfId="0" applyNumberFormat="1" applyFont="1" applyFill="1" applyBorder="1"/>
    <x:xf numFmtId="0" fontId="14" fillId="3" borderId="0" xfId="0" applyNumberFormat="1" applyFont="1" applyFill="1" applyBorder="1"/>
    <x:xf numFmtId="202" fontId="14" fillId="3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  <x:dxfs count="1">
    <x:dxf>
      <x:font>
        <x:color rgb="FFFFD078"/>
      </x:font>
      <x:fill>
        <x:patternFill patternType="solid">
          <x:bgColor rgb="FF663B3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d897d05954d52" /><Relationship Type="http://schemas.openxmlformats.org/officeDocument/2006/relationships/theme" Target="/xl/theme/theme1.xml" Id="Rad8c3c97071748ab" /><Relationship Type="http://schemas.openxmlformats.org/officeDocument/2006/relationships/sharedStrings" Target="/xl/sharedStrings.xml" Id="Re69eebbd12e545db" /><Relationship Type="http://schemas.openxmlformats.org/officeDocument/2006/relationships/worksheet" Target="/xl/worksheets/sheet1.xml" Id="R1f1e7de80b10437e" /><Relationship Type="http://schemas.openxmlformats.org/officeDocument/2006/relationships/worksheet" Target="/xl/worksheets/sheet2.xml" Id="R64efbe8de6844bb0" /><Relationship Type="http://schemas.openxmlformats.org/officeDocument/2006/relationships/worksheet" Target="/xl/worksheets/sheet3.xml" Id="R8054b8babc194801" /><Relationship Type="http://schemas.openxmlformats.org/officeDocument/2006/relationships/worksheet" Target="/xl/worksheets/sheet4.xml" Id="Re78605970474442c" /><Relationship Type="http://schemas.openxmlformats.org/officeDocument/2006/relationships/worksheet" Target="/xl/worksheets/sheet5.xml" Id="Re29ff8152a014fa6" /><Relationship Type="http://schemas.openxmlformats.org/officeDocument/2006/relationships/worksheet" Target="/xl/worksheets/sheet6.xml" Id="R95aae706c737467f" /><Relationship Type="http://schemas.openxmlformats.org/officeDocument/2006/relationships/worksheet" Target="/xl/worksheets/sheet7.xml" Id="Ra975c6b11101487a" /><Relationship Type="http://schemas.openxmlformats.org/officeDocument/2006/relationships/worksheet" Target="/xl/worksheets/sheet8.xml" Id="R2b4dd71e72104f90" /><Relationship Type="http://schemas.openxmlformats.org/officeDocument/2006/relationships/worksheet" Target="/xl/worksheets/sheet9.xml" Id="Rc0c298e319b0419a" /><Relationship Type="http://schemas.openxmlformats.org/officeDocument/2006/relationships/worksheet" Target="/xl/worksheets/sheet10.xml" Id="Reb11fcdd95f845ec" /><Relationship Type="http://schemas.openxmlformats.org/officeDocument/2006/relationships/worksheet" Target="/xl/worksheets/sheet11.xml" Id="Re9f30194c86b4b69" /><Relationship Type="http://schemas.openxmlformats.org/officeDocument/2006/relationships/worksheet" Target="/xl/worksheets/sheet12.xml" Id="Ra890b764a89c4dfc" /><Relationship Type="http://schemas.openxmlformats.org/officeDocument/2006/relationships/worksheet" Target="/xl/worksheets/sheet13.xml" Id="R29b6ad00188e423a" /><Relationship Type="http://schemas.openxmlformats.org/officeDocument/2006/relationships/worksheet" Target="/xl/worksheets/sheet14.xml" Id="R25f1ad3459504fe9" /><Relationship Type="http://schemas.openxmlformats.org/officeDocument/2006/relationships/worksheet" Target="/xl/worksheets/sheet15.xml" Id="R08b401d8d0704948" /><Relationship Type="http://schemas.openxmlformats.org/officeDocument/2006/relationships/worksheet" Target="/xl/worksheets/sheet16.xml" Id="R729f4b5dd52d4864" /><Relationship Type="http://schemas.openxmlformats.org/officeDocument/2006/relationships/worksheet" Target="/xl/worksheets/sheet17.xml" Id="R6de9348949244a7d" /><Relationship Type="http://schemas.openxmlformats.org/officeDocument/2006/relationships/worksheet" Target="/xl/worksheets/sheet18.xml" Id="R0476dbb05c764ffa" /><Relationship Type="http://schemas.openxmlformats.org/officeDocument/2006/relationships/worksheet" Target="/xl/worksheets/sheet19.xml" Id="R0275ba843ce84db4" /><Relationship Type="http://schemas.openxmlformats.org/officeDocument/2006/relationships/worksheet" Target="/xl/worksheets/sheet20.xml" Id="Ra71f118b29ac4a20" /><Relationship Type="http://schemas.openxmlformats.org/officeDocument/2006/relationships/worksheet" Target="/xl/worksheets/sheet21.xml" Id="R67f564f5fd5a4c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05aa6e8fff4c63" /><Relationship Type="http://schemas.openxmlformats.org/officeDocument/2006/relationships/chart" Target="/xl/drawings/charts/chart2.xml" Id="Rd5181f9245b24fcd" /><Relationship Type="http://schemas.openxmlformats.org/officeDocument/2006/relationships/chart" Target="/xl/drawings/charts/chart3.xml" Id="R70fb7aef30174678" /><Relationship Type="http://schemas.openxmlformats.org/officeDocument/2006/relationships/chart" Target="/xl/drawings/charts/chart4.xml" Id="R473f360771f94160" /><Relationship Type="http://schemas.openxmlformats.org/officeDocument/2006/relationships/chart" Target="/xl/drawings/charts/chart5.xml" Id="R7c0fa39c0d49483d" /><Relationship Type="http://schemas.openxmlformats.org/officeDocument/2006/relationships/chart" Target="/xl/drawings/charts/chart6.xml" Id="R2473e00158b34d50" /><Relationship Type="http://schemas.openxmlformats.org/officeDocument/2006/relationships/chart" Target="/xl/drawings/charts/chart7.xml" Id="Rc07766eff7724afd" /><Relationship Type="http://schemas.openxmlformats.org/officeDocument/2006/relationships/chart" Target="/xl/drawings/charts/chart8.xml" Id="Rd628f7df8de449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Nettovermogen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Vermogen</c:v>
          </c:tx>
          <c:spPr>
            <a:solidFill xmlns:a="http://schemas.openxmlformats.org/drawingml/2006/main">
              <a:srgbClr val="6BADFF"/>
            </a:solidFill>
            <a:ln xmlns:a="http://schemas.openxmlformats.org/drawingml/2006/main" w="19050">
              <a:solidFill>
                <a:srgbClr val="6BADFF"/>
              </a:solidFill>
              <a:prstDash val="solid"/>
            </a:ln>
          </c:spPr>
          <c:marker>
            <c:symbol val="none"/>
          </c:marke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'Dashboard'!$S$6:$S$17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Omzet en zakelijke kosten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Omzet</c:v>
          </c:tx>
          <c:spPr>
            <a:solidFill xmlns:a="http://schemas.openxmlformats.org/drawingml/2006/main">
              <a:srgbClr val="6BADFF"/>
            </a:solidFill>
          </c:spP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'Dashboard'!$T$6:$T$17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Zakelijk</c:v>
          </c:tx>
          <c:spPr>
            <a:solidFill xmlns:a="http://schemas.openxmlformats.org/drawingml/2006/main">
              <a:srgbClr val="BAA0FF"/>
            </a:solidFill>
          </c:spP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'Dashboard'!$U$6:$U$17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Zakelijke en privé-uitgaven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Zakelijk</c:v>
          </c:tx>
          <c:spPr>
            <a:solidFill xmlns:a="http://schemas.openxmlformats.org/drawingml/2006/main">
              <a:srgbClr val="6BADFF"/>
            </a:solidFill>
          </c:spP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'Dashboard'!$U$6:$U$17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Privé</c:v>
          </c:tx>
          <c:spPr>
            <a:solidFill xmlns:a="http://schemas.openxmlformats.org/drawingml/2006/main">
              <a:srgbClr val="BAA0FF"/>
            </a:solidFill>
          </c:spP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'Dashboard'!$V$6:$V$17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Netto cashflow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Cashflow</c:v>
          </c:tx>
          <c:spPr>
            <a:solidFill xmlns:a="http://schemas.openxmlformats.org/drawingml/2006/main">
              <a:srgbClr val="6BADFF"/>
            </a:solidFill>
            <a:ln xmlns:a="http://schemas.openxmlformats.org/drawingml/2006/main" w="19050">
              <a:solidFill>
                <a:srgbClr val="6BADFF"/>
              </a:solidFill>
              <a:prstDash val="solid"/>
            </a:ln>
          </c:spPr>
          <c:marker>
            <c:symbol val="none"/>
          </c:marke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'Dashboard'!$W$6:$W$17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Operationele winst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Winst</c:v>
          </c:tx>
          <c:spPr>
            <a:solidFill xmlns:a="http://schemas.openxmlformats.org/drawingml/2006/main">
              <a:srgbClr val="6BADFF"/>
            </a:solidFill>
            <a:ln xmlns:a="http://schemas.openxmlformats.org/drawingml/2006/main" w="19050">
              <a:solidFill>
                <a:srgbClr val="6BADFF"/>
              </a:solidFill>
              <a:prstDash val="solid"/>
            </a:ln>
          </c:spPr>
          <c:marker>
            <c:symbol val="none"/>
          </c:marke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'Dashboard'!$X$6:$X$17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Opbouw privé cashsparen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Spaarsaldo</c:v>
          </c:tx>
          <c:spPr>
            <a:solidFill xmlns:a="http://schemas.openxmlformats.org/drawingml/2006/main">
              <a:srgbClr val="6BADFF"/>
            </a:solidFill>
            <a:ln xmlns:a="http://schemas.openxmlformats.org/drawingml/2006/main" w="19050">
              <a:solidFill>
                <a:srgbClr val="6BADFF"/>
              </a:solidFill>
              <a:prstDash val="solid"/>
            </a:ln>
          </c:spPr>
          <c:marker>
            <c:symbol val="none"/>
          </c:marker>
          <c:cat>
            <c:strRef>
              <c:f>'Dashboard'!$R$6:$R$17</c:f>
              <c:strCache>
                <c:ptCount val="0"/>
              </c:strCache>
            </c:strRef>
          </c:cat>
          <c:val>
            <c:numRef>
              <c:f>'Dashboard'!$Y$6:$Y$17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Spaardoelen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Gespaard</c:v>
          </c:tx>
          <c:spPr>
            <a:solidFill xmlns:a="http://schemas.openxmlformats.org/drawingml/2006/main">
              <a:srgbClr val="6BADFF"/>
            </a:solidFill>
          </c:spPr>
          <c:cat>
            <c:strRef>
              <c:f>'Dashboard'!$R$21:$R$25</c:f>
              <c:strCache>
                <c:ptCount val="0"/>
              </c:strCache>
            </c:strRef>
          </c:cat>
          <c:val>
            <c:numRef>
              <c:f>'Dashboard'!$S$21:$S$25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Nog nodig</c:v>
          </c:tx>
          <c:spPr>
            <a:solidFill xmlns:a="http://schemas.openxmlformats.org/drawingml/2006/main">
              <a:srgbClr val="41DBA3"/>
            </a:solidFill>
          </c:spPr>
          <c:cat>
            <c:strRef>
              <c:f>'Dashboard'!$R$21:$R$25</c:f>
              <c:strCache>
                <c:ptCount val="0"/>
              </c:strCache>
            </c:strRef>
          </c:cat>
          <c:val>
            <c:numRef>
              <c:f>'Dashboard'!$T$21:$T$25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Cashprognose 12 maanden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Eindcash</c:v>
          </c:tx>
          <c:spPr>
            <a:solidFill xmlns:a="http://schemas.openxmlformats.org/drawingml/2006/main">
              <a:srgbClr val="6BADFF"/>
            </a:solidFill>
            <a:ln xmlns:a="http://schemas.openxmlformats.org/drawingml/2006/main" w="19050">
              <a:solidFill>
                <a:srgbClr val="6BADFF"/>
              </a:solidFill>
              <a:prstDash val="solid"/>
            </a:ln>
          </c:spPr>
          <c:marker>
            <c:symbol val="none"/>
          </c:marker>
          <c:cat>
            <c:strRef>
              <c:f>'Dashboard'!$R$30:$R$41</c:f>
              <c:strCache>
                <c:ptCount val="0"/>
              </c:strCache>
            </c:strRef>
          </c:cat>
          <c:val>
            <c:numRef>
              <c:f>'Dashboard'!$S$30:$S$41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05aa6e8fff4c6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181f9245b24fcd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fb7aef30174678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3f360771f94160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0fa39c0d49483d"/>
        </a:graphicData>
      </a:graphic>
    </xdr:graphicFrame>
    <xdr:clientData/>
  </xdr:twoCellAnchor>
  <xdr:twoCellAnchor>
    <xdr:from>
      <xdr:col>8</xdr:col>
      <xdr:colOff>0</xdr:colOff>
      <xdr:row>55</xdr:row>
      <xdr:rowOff>0</xdr:rowOff>
    </xdr:from>
    <xdr:to>
      <xdr:col>16</xdr:col>
      <xdr:colOff>0</xdr:colOff>
      <xdr:row>70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73e00158b34d50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8</xdr:col>
      <xdr:colOff>0</xdr:colOff>
      <xdr:row>86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7766eff7724afd"/>
        </a:graphicData>
      </a:graphic>
    </xdr:graphicFrame>
    <xdr:clientData/>
  </xdr:twoCellAnchor>
  <xdr:twoCellAnchor>
    <xdr:from>
      <xdr:col>8</xdr:col>
      <xdr:colOff>0</xdr:colOff>
      <xdr:row>71</xdr:row>
      <xdr:rowOff>0</xdr:rowOff>
    </xdr:from>
    <xdr:to>
      <xdr:col>16</xdr:col>
      <xdr:colOff>0</xdr:colOff>
      <xdr:row>86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28f7df8de449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Transactions" displayName="Transactions" ref="A5:Z6" headerRowCount="1" totalsRowCount="0" totalsRowShown="0">
  <x:tableColumns count="26">
    <x:tableColumn id="1" name="id"/>
    <x:tableColumn id="2" name="stable_key"/>
    <x:tableColumn id="3" name="transaction_date"/>
    <x:tableColumn id="4" name="booking_date"/>
    <x:tableColumn id="5" name="amount"/>
    <x:tableColumn id="6" name="currency"/>
    <x:tableColumn id="7" name="account_id"/>
    <x:tableColumn id="8" name="account_name"/>
    <x:tableColumn id="9" name="account_type"/>
    <x:tableColumn id="10" name="counterparty"/>
    <x:tableColumn id="11" name="description"/>
    <x:tableColumn id="12" name="source_category"/>
    <x:tableColumn id="13" name="category"/>
    <x:tableColumn id="14" name="subcategory"/>
    <x:tableColumn id="15" name="vat_treatment"/>
    <x:tableColumn id="16" name="classification"/>
    <x:tableColumn id="17" name="recurring"/>
    <x:tableColumn id="18" name="direction"/>
    <x:tableColumn id="19" name="internal_transfer"/>
    <x:tableColumn id="20" name="reconciliation"/>
    <x:tableColumn id="21" name="notes"/>
    <x:tableColumn id="22" name="duplicate_status"/>
    <x:tableColumn id="23" name="source_hash"/>
    <x:tableColumn id="24" name="source_updated_at"/>
    <x:tableColumn id="25" name="include_in_totals"/>
    <x:tableColumn id="26" name="valid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5" name="Invoices" displayName="Invoices" ref="A5:N6" headerRowCount="1" totalsRowCount="0" totalsRowShown="0">
  <x:tableColumns count="14">
    <x:tableColumn id="1" name="id"/>
    <x:tableColumn id="2" name="date"/>
    <x:tableColumn id="3" name="due_date"/>
    <x:tableColumn id="4" name="number"/>
    <x:tableColumn id="5" name="status"/>
    <x:tableColumn id="6" name="project_id"/>
    <x:tableColumn id="7" name="customer"/>
    <x:tableColumn id="8" name="amount_excl"/>
    <x:tableColumn id="9" name="vat"/>
    <x:tableColumn id="10" name="amount_incl"/>
    <x:tableColumn id="11" name="paid"/>
    <x:tableColumn id="12" name="open"/>
    <x:tableColumn id="13" name="vat_treatment"/>
    <x:tableColumn id="14" name="valid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6" name="Expenses" displayName="Expenses" ref="A5:O6" headerRowCount="1" totalsRowCount="0" totalsRowShown="0">
  <x:tableColumns count="15">
    <x:tableColumn id="1" name="id"/>
    <x:tableColumn id="2" name="date"/>
    <x:tableColumn id="3" name="supplier"/>
    <x:tableColumn id="4" name="project_id"/>
    <x:tableColumn id="5" name="category"/>
    <x:tableColumn id="6" name="amount_excl"/>
    <x:tableColumn id="7" name="vat_deductible"/>
    <x:tableColumn id="8" name="amount_incl"/>
    <x:tableColumn id="9" name="paid"/>
    <x:tableColumn id="10" name="due_date"/>
    <x:tableColumn id="11" name="deductible"/>
    <x:tableColumn id="12" name="capital_asset"/>
    <x:tableColumn id="13" name="vat_treatment"/>
    <x:tableColumn id="14" name="open"/>
    <x:tableColumn id="15" name="valid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8" name="Projects" displayName="Projects" ref="A5:L25" headerRowCount="1" totalsRowCount="0" totalsRowShown="0">
  <x:tableColumns count="12">
    <x:tableColumn id="1" name="project_id"/>
    <x:tableColumn id="2" name="Klant"/>
    <x:tableColumn id="3" name="Omschrijving"/>
    <x:tableColumn id="4" name="Offerte excl."/>
    <x:tableColumn id="5" name="Begrote uren"/>
    <x:tableColumn id="6" name="Werkelijke uren"/>
    <x:tableColumn id="7" name="Omzet excl."/>
    <x:tableColumn id="8" name="Materiaalkosten"/>
    <x:tableColumn id="9" name="Overige kosten"/>
    <x:tableColumn id="10" name="Brutowinst"/>
    <x:tableColumn id="11" name="Marge"/>
    <x:tableColumn id="12" name="Winst per uur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9" name="PrivateCategories" displayName="PrivateCategories" ref="A5:J20" headerRowCount="1" totalsRowCount="0" totalsRowShown="0">
  <x:tableColumns count="10">
    <x:tableColumn id="1" name="Categorie"/>
    <x:tableColumn id="2" name="Type"/>
    <x:tableColumn id="3" name="Essentieel"/>
    <x:tableColumn id="4" name="Deze maand"/>
    <x:tableColumn id="5" name="Vorige maand"/>
    <x:tableColumn id="6" name="Verschil"/>
    <x:tableColumn id="7" name="3-maandgemiddelde"/>
    <x:tableColumn id="8" name="Minimaal budget"/>
    <x:tableColumn id="9" name="Comfortabel budget"/>
    <x:tableColumn id="10" name="Reisbudget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10" name="Recurring" displayName="Recurring" ref="A5:K25" headerRowCount="1" totalsRowCount="0" totalsRowShown="0">
  <x:tableColumns count="11">
    <x:tableColumn id="1" name="id"/>
    <x:tableColumn id="2" name="Leverancier"/>
    <x:tableColumn id="3" name="Classificatie"/>
    <x:tableColumn id="4" name="Categorie"/>
    <x:tableColumn id="5" name="Bedrag"/>
    <x:tableColumn id="6" name="Maanden per betaling"/>
    <x:tableColumn id="7" name="Maandbedrag"/>
    <x:tableColumn id="8" name="Volgende betaling"/>
    <x:tableColumn id="9" name="Actief"/>
    <x:tableColumn id="10" name="Opzegdatum"/>
    <x:tableColumn id="11" name="Controle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11" name="VAT" displayName="VAT" ref="A25:H29" headerRowCount="1" totalsRowCount="0" totalsRowShown="0">
  <x:tableColumns count="8">
    <x:tableColumn id="1" name="Kwartaal"/>
    <x:tableColumn id="2" name="Omzet 21%"/>
    <x:tableColumn id="3" name="Omzet 9%"/>
    <x:tableColumn id="4" name="Omzet 0%"/>
    <x:tableColumn id="5" name="Omzet verlegd"/>
    <x:tableColumn id="6" name="Btw saldo"/>
    <x:tableColumn id="7" name="Btw betaald"/>
    <x:tableColumn id="8" name="Resterend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13" name="VanPrices" displayName="VanPrices" ref="A26:C30" headerRowCount="1" totalsRowCount="0" totalsRowShown="0">
  <x:tableColumns count="3">
    <x:tableColumn id="1" name="Koop excl. btw"/>
    <x:tableColumn id="2" name="Koop incl. btw"/>
    <x:tableColumn id="3" name="Extra werkdagen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14" name="VanCases" displayName="VanCases" ref="A34:C37" headerRowCount="1" totalsRowCount="0" totalsRowShown="0">
  <x:tableColumns count="3">
    <x:tableColumn id="1" name="Scenario"/>
    <x:tableColumn id="2" name="Ombouwbudget"/>
    <x:tableColumn id="3" name="Totale cashbehoefte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2" name="Conversion" displayName="Conversion" ref="A5:J32" headerRowCount="1" totalsRowCount="0" totalsRowShown="0">
  <x:tableColumns count="10">
    <x:tableColumn id="1" name="Onderdeel"/>
    <x:tableColumn id="2" name="Begroot incl."/>
    <x:tableColumn id="3" name="Werkelijk incl."/>
    <x:tableColumn id="4" name="Betaald"/>
    <x:tableColumn id="5" name="Resterend"/>
    <x:tableColumn id="6" name="Prioriteit"/>
    <x:tableColumn id="7" name="Status"/>
    <x:tableColumn id="8" name="Leverancier"/>
    <x:tableColumn id="9" name="Notities"/>
    <x:tableColumn id="10" name="Vanaf scenario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5" name="Goals" displayName="Goals" ref="A5:K16" headerRowCount="1" totalsRowCount="0" totalsRowShown="0">
  <x:tableColumns count="11">
    <x:tableColumn id="1" name="Doel"/>
    <x:tableColumn id="2" name="Doelbedrag"/>
    <x:tableColumn id="3" name="Huidig"/>
    <x:tableColumn id="4" name="Type"/>
    <x:tableColumn id="5" name="Resterend"/>
    <x:tableColumn id="6" name="Voortgang"/>
    <x:tableColumn id="7" name="Maandinleg"/>
    <x:tableColumn id="8" name="Gewenste datum"/>
    <x:tableColumn id="9" name="Nodig / maand"/>
    <x:tableColumn id="10" name="Werkdagen"/>
    <x:tableColumn id="11" name="Geschatte datum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8" name="Freedom" displayName="Freedom" ref="A5:L20" headerRowCount="1" totalsRowCount="0" totalsRowShown="0">
  <x:tableColumns count="12">
    <x:tableColumn id="1" name="Werkmaanden"/>
    <x:tableColumn id="2" name="Omzet / dag"/>
    <x:tableColumn id="3" name="Werkdagen"/>
    <x:tableColumn id="4" name="Jaaromzet"/>
    <x:tableColumn id="5" name="Zakelijke kosten"/>
    <x:tableColumn id="6" name="Winst"/>
    <x:tableColumn id="7" name="Belastingreserve"/>
    <x:tableColumn id="8" name="Privé beschikbaar"/>
    <x:tableColumn id="9" name="Leefkosten werkmaanden"/>
    <x:tableColumn id="10" name="Reiskosten"/>
    <x:tableColumn id="11" name="Jaarsparen"/>
    <x:tableColumn id="12" name="Cash eindjaar"/>
  </x:tableColumns>
  <x:tableStyleInfo name="TableStyleMedium2" showFirstColumn="0" showLastColumn="0" showRowStripes="0" showColumnStripes="0"/>
</x:table>
</file>

<file path=xl/tables/table13.xml><?xml version="1.0" encoding="utf-8"?>
<x:table xmlns:x="http://schemas.openxmlformats.org/spreadsheetml/2006/main" id="19" name="Runway" displayName="Runway" ref="A24:B29" headerRowCount="1" totalsRowCount="0" totalsRowShown="0">
  <x:tableColumns count="2">
    <x:tableColumn id="1" name="Maandbudget"/>
    <x:tableColumn id="2" name="Maanden zonder inkomen"/>
  </x:tableColumns>
  <x:tableStyleInfo name="TableStyleMedium2" showFirstColumn="0" showLastColumn="0" showRowStripes="0" showColumnStripes="0"/>
</x:table>
</file>

<file path=xl/tables/table14.xml><?xml version="1.0" encoding="utf-8"?>
<x:table xmlns:x="http://schemas.openxmlformats.org/spreadsheetml/2006/main" id="20" name="Plan" displayName="Plan" ref="A5:K41" headerRowCount="1" totalsRowCount="0" totalsRowShown="0">
  <x:tableColumns count="11">
    <x:tableColumn id="1" name="Maand"/>
    <x:tableColumn id="2" name="Werkdagen"/>
    <x:tableColumn id="3" name="Reismaand 0/1"/>
    <x:tableColumn id="4" name="Ontvangsten extra incl. btw"/>
    <x:tableColumn id="5" name="Busbetaling"/>
    <x:tableColumn id="6" name="Ombouwbetaling"/>
    <x:tableColumn id="7" name="Beleggingsinleg"/>
    <x:tableColumn id="8" name="Btw cashbetaling"/>
    <x:tableColumn id="9" name="IB cashbetaling"/>
    <x:tableColumn id="10" name="Overige cashbetaling"/>
    <x:tableColumn id="11" name="Opmerking"/>
  </x:tableColumns>
  <x:tableStyleInfo name="TableStyleMedium2" showFirstColumn="0" showLastColumn="0" showRowStripes="0" showColumnStripes="0"/>
</x:table>
</file>

<file path=xl/tables/table15.xml><?xml version="1.0" encoding="utf-8"?>
<x:table xmlns:x="http://schemas.openxmlformats.org/spreadsheetml/2006/main" id="21" name="Forecast" displayName="Forecast" ref="A5:N41" headerRowCount="1" totalsRowCount="0" totalsRowShown="0">
  <x:tableColumns count="14">
    <x:tableColumn id="1" name="Maand"/>
    <x:tableColumn id="2" name="Omzetfactor"/>
    <x:tableColumn id="3" name="Kostenfactor"/>
    <x:tableColumn id="4" name="Begincash"/>
    <x:tableColumn id="5" name="Omzet / ontvangst excl."/>
    <x:tableColumn id="6" name="Zakelijke cashkosten excl."/>
    <x:tableColumn id="7" name="Privé / reizen"/>
    <x:tableColumn id="8" name="Belastingbetaling"/>
    <x:tableColumn id="9" name="Bus / ombouw"/>
    <x:tableColumn id="10" name="Investeringen"/>
    <x:tableColumn id="11" name="Extra ontvangsten"/>
    <x:tableColumn id="12" name="Overige uitgaven"/>
    <x:tableColumn id="13" name="Eindcash"/>
    <x:tableColumn id="14" name="Buffertekort"/>
  </x:tableColumns>
  <x:tableStyleInfo name="TableStyleMedium2" showFirstColumn="0" showLastColumn="0" showRowStripes="0" showColumnStripes="0"/>
</x:table>
</file>

<file path=xl/tables/table16.xml><?xml version="1.0" encoding="utf-8"?>
<x:table xmlns:x="http://schemas.openxmlformats.org/spreadsheetml/2006/main" id="16" name="Assets" displayName="Assets" ref="A25:D31" headerRowCount="1" totalsRowCount="0" totalsRowShown="0">
  <x:tableColumns count="4">
    <x:tableColumn id="1" name="Soort"/>
    <x:tableColumn id="2" name="Omschrijving"/>
    <x:tableColumn id="3" name="Waarde"/>
    <x:tableColumn id="4" name="Waarderingsdatum"/>
  </x:tableColumns>
  <x:tableStyleInfo name="TableStyleMedium2" showFirstColumn="0" showLastColumn="0" showRowStripes="0" showColumnStripes="0"/>
</x:table>
</file>

<file path=xl/tables/table17.xml><?xml version="1.0" encoding="utf-8"?>
<x:table xmlns:x="http://schemas.openxmlformats.org/spreadsheetml/2006/main" id="17" name="Debts" displayName="Debts" ref="A34:D38" headerRowCount="1" totalsRowCount="0" totalsRowShown="0">
  <x:tableColumns count="4">
    <x:tableColumn id="1" name="Soort"/>
    <x:tableColumn id="2" name="Omschrijving"/>
    <x:tableColumn id="3" name="Openstaand"/>
    <x:tableColumn id="4" name="Peildatum"/>
  </x:tableColumns>
  <x:tableStyleInfo name="TableStyleMedium2" showFirstColumn="0" showLastColumn="0" showRowStripes="0" showColumnStripes="0"/>
</x:table>
</file>

<file path=xl/tables/table18.xml><?xml version="1.0" encoding="utf-8"?>
<x:table xmlns:x="http://schemas.openxmlformats.org/spreadsheetml/2006/main" id="7" name="Months" displayName="Months" ref="A5:O29" headerRowCount="1" totalsRowCount="0" totalsRowShown="0">
  <x:tableColumns count="15">
    <x:tableColumn id="1" name="Maand"/>
    <x:tableColumn id="2" name="Omzet excl. btw"/>
    <x:tableColumn id="3" name="Kosten excl. btw"/>
    <x:tableColumn id="4" name="Operationele winst"/>
    <x:tableColumn id="5" name="Privé-uitgaven"/>
    <x:tableColumn id="6" name="Netto bankmutaties"/>
    <x:tableColumn id="7" name="Marge"/>
    <x:tableColumn id="8" name="Beginsaldo"/>
    <x:tableColumn id="9" name="Eindsaldo"/>
    <x:tableColumn id="10" name="Nettovermogen"/>
    <x:tableColumn id="11" name="Werkdagen"/>
    <x:tableColumn id="12" name="Uren"/>
    <x:tableColumn id="13" name="Omzet / dag"/>
    <x:tableColumn id="14" name="Omzet / uur"/>
    <x:tableColumn id="15" name="Maandlabel"/>
  </x:tableColumns>
  <x:tableStyleInfo name="TableStyleMedium2" showFirstColumn="0" showLastColumn="0" showRowStripes="0" showColumnStripes="0"/>
</x:table>
</file>

<file path=xl/tables/table19.xml><?xml version="1.0" encoding="utf-8"?>
<x:table xmlns:x="http://schemas.openxmlformats.org/spreadsheetml/2006/main" id="23" name="Insights" displayName="Insights" ref="A5:C15" headerRowCount="1" totalsRowCount="0" totalsRowShown="0">
  <x:tableColumns count="3">
    <x:tableColumn id="1" name="Signaal"/>
    <x:tableColumn id="2" name="Status / waarde"/>
    <x:tableColumn id="3" name="Vervolg"/>
  </x:tableColumns>
  <x:tableStyleInfo name="TableStyleMedium2" showFirstColumn="0" showLastColumn="0" showRowStripes="0" showColumnStripes="0"/>
</x:table>
</file>

<file path=xl/tables/table20.xml><?xml version="1.0" encoding="utf-8"?>
<x:table xmlns:x="http://schemas.openxmlformats.org/spreadsheetml/2006/main" id="1" name="Assumptions" displayName="Assumptions" ref="A5:C48" headerRowCount="1" totalsRowCount="0" totalsRowShown="0">
  <x:tableColumns count="3">
    <x:tableColumn id="1" name="Instelling"/>
    <x:tableColumn id="2" name="Waarde"/>
    <x:tableColumn id="3" name="Toelichting"/>
  </x:tableColumns>
  <x:tableStyleInfo name="TableStyleMedium2" showFirstColumn="0" showLastColumn="0" showRowStripes="0" showColumnStripes="0"/>
</x:table>
</file>

<file path=xl/tables/table21.xml><?xml version="1.0" encoding="utf-8"?>
<x:table xmlns:x="http://schemas.openxmlformats.org/spreadsheetml/2006/main" id="2" name="Accounts" displayName="Accounts" ref="A57:M72" headerRowCount="1" totalsRowCount="0" totalsRowShown="0">
  <x:tableColumns count="13">
    <x:tableColumn id="1" name="id"/>
    <x:tableColumn id="2" name="name"/>
    <x:tableColumn id="3" name="type"/>
    <x:tableColumn id="4" name="currency"/>
    <x:tableColumn id="5" name="closing"/>
    <x:tableColumn id="6" name="closing_date"/>
    <x:tableColumn id="7" name="opening"/>
    <x:tableColumn id="8" name="opening_date"/>
    <x:tableColumn id="9" name="coverage"/>
    <x:tableColumn id="10" name="last_sync"/>
    <x:tableColumn id="11" name="include"/>
    <x:tableColumn id="12" name="balance_type"/>
    <x:tableColumn id="13" name="valid"/>
  </x:tableColumns>
  <x:tableStyleInfo name="TableStyleMedium2" showFirstColumn="0" showLastColumn="0" showRowStripes="0" showColumnStripes="0"/>
</x:table>
</file>

<file path=xl/tables/table22.xml><?xml version="1.0" encoding="utf-8"?>
<x:table xmlns:x="http://schemas.openxmlformats.org/spreadsheetml/2006/main" id="3" name="Rules" displayName="Rules" ref="A73:E76" headerRowCount="1" totalsRowCount="0" totalsRowShown="0">
  <x:tableColumns count="5">
    <x:tableColumn id="1" name="counterparty"/>
    <x:tableColumn id="2" name="category"/>
    <x:tableColumn id="3" name="classification"/>
    <x:tableColumn id="4" name="recurring"/>
    <x:tableColumn id="5" name="subcategory"/>
  </x:tableColumns>
  <x:tableStyleInfo name="TableStyleMedium2" showFirstColumn="0" showLastColumn="0" showRowStripes="0" showColumnStripes="0"/>
</x:table>
</file>

<file path=xl/tables/table23.xml><?xml version="1.0" encoding="utf-8"?>
<x:table xmlns:x="http://schemas.openxmlformats.org/spreadsheetml/2006/main" id="22" name="Reconciliation" displayName="Reconciliation" ref="A5:K20" headerRowCount="1" totalsRowCount="0" totalsRowShown="0">
  <x:tableColumns count="11">
    <x:tableColumn id="1" name="Rekening-ID"/>
    <x:tableColumn id="2" name="Naam"/>
    <x:tableColumn id="3" name="Openingssaldo"/>
    <x:tableColumn id="4" name="Openingsdatum"/>
    <x:tableColumn id="5" name="Eindsaldo"/>
    <x:tableColumn id="6" name="Einddatum"/>
    <x:tableColumn id="7" name="Mutaties"/>
    <x:tableColumn id="8" name="Verwacht saldo"/>
    <x:tableColumn id="9" name="Verschil"/>
    <x:tableColumn id="10" name="Dekking"/>
    <x:tableColumn id="11" name="Control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8d94650a9f4a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a830528e94f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b9b8cef39d44d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773918c827841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fffb7aaf88d45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13a25c81c6d47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7a1abdd865049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8ccc7f5bca554b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3c1ad00bfe14ba6" /><Relationship Type="http://schemas.openxmlformats.org/officeDocument/2006/relationships/table" Target="/xl/tables/table9.xml" Id="Ra69743f363584d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5b3bcaefb9741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3fb1e4087b440c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247451c10c441d6" /><Relationship Type="http://schemas.openxmlformats.org/officeDocument/2006/relationships/table" Target="/xl/tables/table13.xml" Id="R30b72f2a0162434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da6a714026743c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036c4b35f6e491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89542718ccd4a26" /><Relationship Type="http://schemas.openxmlformats.org/officeDocument/2006/relationships/table" Target="/xl/tables/table17.xml" Id="R3e65a6f1d99944f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27cbe81a45f44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44ce89be88d436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04b7ef2e6744bd7" /><Relationship Type="http://schemas.openxmlformats.org/officeDocument/2006/relationships/table" Target="/xl/tables/table21.xml" Id="R49e2e73abd9c46bf" /><Relationship Type="http://schemas.openxmlformats.org/officeDocument/2006/relationships/table" Target="/xl/tables/table22.xml" Id="Rfa429a9bed21446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3.xml" Id="R82bfc96b4bbc4bff" /></Relationships>
</file>

<file path=xl/worksheets/sheet1.xml><?xml version="1.0" encoding="utf-8"?>
<x:worksheet xmlns:x="http://schemas.openxmlformats.org/spreadsheetml/2006/main">
  <x:sheetPr>
    <x:tabColor rgb="FF6BADFF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Financieel overzicht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Actuele bedragen, schattingen en planning blijven gescheiden. Start bij Instellingen en importeer de Studio-export.</x:v>
      </x:c>
      <x:c r="B3" s="5" t="str">
        <x:v>Actuele bedragen, schattingen en planning blijven gescheiden. Start bij Instellingen en importeer de Studio-export.</x:v>
      </x:c>
      <x:c r="C3" s="5" t="str">
        <x:v>Actuele bedragen, schattingen en planning blijven gescheiden. Start bij Instellingen en importeer de Studio-export.</x:v>
      </x:c>
      <x:c r="D3" s="5" t="str">
        <x:v>Actuele bedragen, schattingen en planning blijven gescheiden. Start bij Instellingen en importeer de Studio-export.</x:v>
      </x:c>
      <x:c r="E3" s="5" t="str">
        <x:v>Actuele bedragen, schattingen en planning blijven gescheiden. Start bij Instellingen en importeer de Studio-export.</x:v>
      </x:c>
      <x:c r="F3" s="5" t="str">
        <x:v>Actuele bedragen, schattingen en planning blijven gescheiden. Start bij Instellingen en importeer de Studio-export.</x:v>
      </x:c>
      <x:c r="G3" s="5" t="str">
        <x:v>Actuele bedragen, schattingen en planning blijven gescheiden. Start bij Instellingen en importeer de Studio-export.</x:v>
      </x:c>
      <x:c r="H3" s="5" t="str">
        <x:v>Actuele bedragen, schattingen en planning blijven gescheiden. Start bij Instellingen en importeer de Studio-export.</x:v>
      </x:c>
      <x:c r="I3" s="5" t="str">
        <x:v>Actuele bedragen, schattingen en planning blijven gescheiden. Start bij Instellingen en importeer de Studio-export.</x:v>
      </x:c>
      <x:c r="J3" s="5" t="str">
        <x:v>Actuele bedragen, schattingen en planning blijven gescheiden. Start bij Instellingen en importeer de Studio-export.</x:v>
      </x:c>
      <x:c r="K3" s="5" t="str">
        <x:v>Actuele bedragen, schattingen en planning blijven gescheiden. Start bij Instellingen en importeer de Studio-export.</x:v>
      </x:c>
      <x:c r="L3" s="5" t="str">
        <x:v>Actuele bedragen, schattingen en planning blijven gescheiden. Start bij Instellingen en importeer de Studio-export.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6" t="str">
        <x:f>IF(AND('Settings &amp; Assumptions'!$G$13=1,'Settings &amp; Assumptions'!$G$14=1,'Settings &amp; Assumptions'!$G$15=1,'Settings &amp; Assumptions'!$B$12=1),"Broncontroles bevestigd — controleer synchronisatiedatum","ONVOLLEDIG — importeer gegevens en bevestig broncontroles")</x:f>
        <x:v>ONVOLLEDIG — importeer gegevens en bevestig broncontroles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 t="str">
        <x:v>Maand</x:v>
      </x:c>
      <x:c r="S5" s="2" t="str">
        <x:v>Vermogen</x:v>
      </x:c>
      <x:c r="T5" s="2" t="str">
        <x:v>Omzet</x:v>
      </x:c>
      <x:c r="U5" s="2" t="str">
        <x:v>Zakelijk</x:v>
      </x:c>
      <x:c r="V5" s="2" t="str">
        <x:v>Privé</x:v>
      </x:c>
      <x:c r="W5" s="2" t="str">
        <x:v>Cashflow</x:v>
      </x:c>
      <x:c r="X5" s="2" t="str">
        <x:v>Winst</x:v>
      </x:c>
      <x:c r="Y5" s="2" t="str">
        <x:v>Spaarsaldo</x:v>
      </x:c>
      <x:c r="Z5" s="2" t="str">
        <x:v>Forecast</x:v>
      </x:c>
      <x:c r="AA5" s="2"/>
      <x:c r="AB5" s="2"/>
    </x:row>
    <x:row r="6" ht="24" customHeight="1">
      <x:c r="A6" s="27" t="str">
        <x:v>Banksaldi</x:v>
      </x:c>
      <x:c r="B6" s="6"/>
      <x:c r="C6" s="6"/>
      <x:c r="D6" s="27" t="str">
        <x:v>Privébank</x:v>
      </x:c>
      <x:c r="E6" s="6"/>
      <x:c r="F6" s="6"/>
      <x:c r="G6" s="27" t="str">
        <x:v>Zakelijke bank</x:v>
      </x:c>
      <x:c r="H6" s="6"/>
      <x:c r="I6" s="6"/>
      <x:c r="J6" s="27" t="str">
        <x:v>Overige schulden</x:v>
      </x:c>
      <x:c r="K6" s="6"/>
      <x:c r="L6" s="6"/>
      <x:c r="M6" s="27" t="str">
        <x:v>Klantfacturen open</x:v>
      </x:c>
      <x:c r="N6" s="6"/>
      <x:c r="O6" s="6"/>
      <x:c r="P6" s="2"/>
      <x:c r="Q6" s="2"/>
      <x:c r="R6" s="2" t="str">
        <x:f>'Monthly Reports'!O6</x:f>
        <x:v>Nov 25</x:v>
      </x:c>
      <x:c r="S6" s="2" t="str">
        <x:f>IF(ISNUMBER('Monthly Reports'!J6),'Monthly Reports'!J6,"")</x:f>
      </x:c>
      <x:c r="T6" s="2" t="str">
        <x:f>IF(ISNUMBER('Monthly Reports'!B6),'Monthly Reports'!B6,"")</x:f>
      </x:c>
      <x:c r="U6" s="2" t="str">
        <x:f>IF(ISNUMBER('Monthly Reports'!C6),'Monthly Reports'!C6,"")</x:f>
      </x:c>
      <x:c r="V6" s="2" t="str">
        <x:f>IF(ISNUMBER('Monthly Reports'!E6),'Monthly Reports'!E6,"")</x:f>
      </x:c>
      <x:c r="W6" s="2" t="str">
        <x:f>IF(ISNUMBER('Monthly Reports'!F6),'Monthly Reports'!F6,"")</x:f>
      </x:c>
      <x:c r="X6" s="2" t="str">
        <x:f>IF(ISNUMBER('Monthly Reports'!D6),'Monthly Reports'!D6,"")</x:f>
      </x:c>
      <x:c r="Y6" s="2" t="str">
        <x:f>IF(ISNUMBER('Monthly Reports'!S6),'Monthly Reports'!S6,"")</x:f>
      </x:c>
      <x:c r="Z6" s="2" t="str">
        <x:f>IF(ISNUMBER('Cash Flow Forecast'!M6),'Cash Flow Forecast'!M6,"")</x:f>
      </x:c>
      <x:c r="AA6" s="2"/>
      <x:c r="AB6" s="2"/>
    </x:row>
    <x:row r="7" ht="24" customHeight="1">
      <x:c r="A7" s="29" t="str">
        <x:f>'Net Worth'!E6</x:f>
        <x:v>n.b.</x:v>
      </x:c>
      <x:c r="B7" s="6"/>
      <x:c r="C7" s="6"/>
      <x:c r="D7" s="29" t="str">
        <x:f>'Net Worth'!E7</x:f>
        <x:v>n.b.</x:v>
      </x:c>
      <x:c r="E7" s="6"/>
      <x:c r="F7" s="6"/>
      <x:c r="G7" s="31" t="str">
        <x:f>'Net Worth'!E8</x:f>
        <x:v>n.b.</x:v>
      </x:c>
      <x:c r="H7" s="6"/>
      <x:c r="I7" s="6"/>
      <x:c r="J7" s="33" t="str">
        <x:f>'Net Worth'!E10</x:f>
        <x:v>n.b.</x:v>
      </x:c>
      <x:c r="K7" s="6"/>
      <x:c r="L7" s="6"/>
      <x:c r="M7" s="35" t="str">
        <x:f>'Net Worth'!E11</x:f>
        <x:v>n.b.</x:v>
      </x:c>
      <x:c r="N7" s="6"/>
      <x:c r="O7" s="6"/>
      <x:c r="P7" s="2"/>
      <x:c r="Q7" s="2"/>
      <x:c r="R7" s="2" t="str">
        <x:f>'Monthly Reports'!O7</x:f>
        <x:v>Dec 25</x:v>
      </x:c>
      <x:c r="S7" s="2" t="str">
        <x:f>IF(ISNUMBER('Monthly Reports'!J7),'Monthly Reports'!J7,"")</x:f>
      </x:c>
      <x:c r="T7" s="2" t="str">
        <x:f>IF(ISNUMBER('Monthly Reports'!B7),'Monthly Reports'!B7,"")</x:f>
      </x:c>
      <x:c r="U7" s="2" t="str">
        <x:f>IF(ISNUMBER('Monthly Reports'!C7),'Monthly Reports'!C7,"")</x:f>
      </x:c>
      <x:c r="V7" s="2" t="str">
        <x:f>IF(ISNUMBER('Monthly Reports'!E7),'Monthly Reports'!E7,"")</x:f>
      </x:c>
      <x:c r="W7" s="2" t="str">
        <x:f>IF(ISNUMBER('Monthly Reports'!F7),'Monthly Reports'!F7,"")</x:f>
      </x:c>
      <x:c r="X7" s="2" t="str">
        <x:f>IF(ISNUMBER('Monthly Reports'!D7),'Monthly Reports'!D7,"")</x:f>
      </x:c>
      <x:c r="Y7" s="2" t="str">
        <x:f>IF(ISNUMBER('Monthly Reports'!S7),'Monthly Reports'!S7,"")</x:f>
      </x:c>
      <x:c r="Z7" s="2" t="str">
        <x:f>IF(ISNUMBER('Cash Flow Forecast'!M7),'Cash Flow Forecast'!M7,"")</x:f>
      </x:c>
      <x:c r="AA7" s="2"/>
      <x:c r="AB7" s="2"/>
    </x:row>
    <x:row r="8" ht="24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2"/>
      <x:c r="Q8" s="2"/>
      <x:c r="R8" s="2" t="str">
        <x:f>'Monthly Reports'!O8</x:f>
        <x:v>Jan 26</x:v>
      </x:c>
      <x:c r="S8" s="2" t="str">
        <x:f>IF(ISNUMBER('Monthly Reports'!J8),'Monthly Reports'!J8,"")</x:f>
      </x:c>
      <x:c r="T8" s="2" t="str">
        <x:f>IF(ISNUMBER('Monthly Reports'!B8),'Monthly Reports'!B8,"")</x:f>
      </x:c>
      <x:c r="U8" s="2" t="str">
        <x:f>IF(ISNUMBER('Monthly Reports'!C8),'Monthly Reports'!C8,"")</x:f>
      </x:c>
      <x:c r="V8" s="2" t="str">
        <x:f>IF(ISNUMBER('Monthly Reports'!E8),'Monthly Reports'!E8,"")</x:f>
      </x:c>
      <x:c r="W8" s="2" t="str">
        <x:f>IF(ISNUMBER('Monthly Reports'!F8),'Monthly Reports'!F8,"")</x:f>
      </x:c>
      <x:c r="X8" s="2" t="str">
        <x:f>IF(ISNUMBER('Monthly Reports'!D8),'Monthly Reports'!D8,"")</x:f>
      </x:c>
      <x:c r="Y8" s="2" t="str">
        <x:f>IF(ISNUMBER('Monthly Reports'!S8),'Monthly Reports'!S8,"")</x:f>
      </x:c>
      <x:c r="Z8" s="2" t="str">
        <x:f>IF(ISNUMBER('Cash Flow Forecast'!M8),'Cash Flow Forecast'!M8,"")</x:f>
      </x:c>
      <x:c r="AA8" s="2"/>
      <x:c r="AB8" s="2"/>
    </x:row>
    <x:row r="9" ht="24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2"/>
      <x:c r="Q9" s="2"/>
      <x:c r="R9" s="2" t="str">
        <x:f>'Monthly Reports'!O9</x:f>
        <x:v>Feb 26</x:v>
      </x:c>
      <x:c r="S9" s="2" t="str">
        <x:f>IF(ISNUMBER('Monthly Reports'!J9),'Monthly Reports'!J9,"")</x:f>
      </x:c>
      <x:c r="T9" s="2" t="str">
        <x:f>IF(ISNUMBER('Monthly Reports'!B9),'Monthly Reports'!B9,"")</x:f>
      </x:c>
      <x:c r="U9" s="2" t="str">
        <x:f>IF(ISNUMBER('Monthly Reports'!C9),'Monthly Reports'!C9,"")</x:f>
      </x:c>
      <x:c r="V9" s="2" t="str">
        <x:f>IF(ISNUMBER('Monthly Reports'!E9),'Monthly Reports'!E9,"")</x:f>
      </x:c>
      <x:c r="W9" s="2" t="str">
        <x:f>IF(ISNUMBER('Monthly Reports'!F9),'Monthly Reports'!F9,"")</x:f>
      </x:c>
      <x:c r="X9" s="2" t="str">
        <x:f>IF(ISNUMBER('Monthly Reports'!D9),'Monthly Reports'!D9,"")</x:f>
      </x:c>
      <x:c r="Y9" s="2" t="str">
        <x:f>IF(ISNUMBER('Monthly Reports'!S9),'Monthly Reports'!S9,"")</x:f>
      </x:c>
      <x:c r="Z9" s="2" t="str">
        <x:f>IF(ISNUMBER('Cash Flow Forecast'!M9),'Cash Flow Forecast'!M9,"")</x:f>
      </x:c>
      <x:c r="AA9" s="2"/>
      <x:c r="AB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 t="str">
        <x:f>'Monthly Reports'!O10</x:f>
        <x:v>Mar 26</x:v>
      </x:c>
      <x:c r="S10" s="2" t="str">
        <x:f>IF(ISNUMBER('Monthly Reports'!J10),'Monthly Reports'!J10,"")</x:f>
      </x:c>
      <x:c r="T10" s="2" t="str">
        <x:f>IF(ISNUMBER('Monthly Reports'!B10),'Monthly Reports'!B10,"")</x:f>
      </x:c>
      <x:c r="U10" s="2" t="str">
        <x:f>IF(ISNUMBER('Monthly Reports'!C10),'Monthly Reports'!C10,"")</x:f>
      </x:c>
      <x:c r="V10" s="2" t="str">
        <x:f>IF(ISNUMBER('Monthly Reports'!E10),'Monthly Reports'!E10,"")</x:f>
      </x:c>
      <x:c r="W10" s="2" t="str">
        <x:f>IF(ISNUMBER('Monthly Reports'!F10),'Monthly Reports'!F10,"")</x:f>
      </x:c>
      <x:c r="X10" s="2" t="str">
        <x:f>IF(ISNUMBER('Monthly Reports'!D10),'Monthly Reports'!D10,"")</x:f>
      </x:c>
      <x:c r="Y10" s="2" t="str">
        <x:f>IF(ISNUMBER('Monthly Reports'!S10),'Monthly Reports'!S10,"")</x:f>
      </x:c>
      <x:c r="Z10" s="2" t="str">
        <x:f>IF(ISNUMBER('Cash Flow Forecast'!M10),'Cash Flow Forecast'!M10,"")</x:f>
      </x:c>
      <x:c r="AA10" s="2"/>
      <x:c r="AB10" s="2"/>
    </x:row>
    <x:row r="11" ht="24" customHeight="1">
      <x:c r="A11" s="27" t="str">
        <x:v>Leveranciers open</x:v>
      </x:c>
      <x:c r="B11" s="6"/>
      <x:c r="C11" s="6"/>
      <x:c r="D11" s="27" t="str">
        <x:v>Belastingraming</x:v>
      </x:c>
      <x:c r="E11" s="6"/>
      <x:c r="F11" s="6"/>
      <x:c r="G11" s="27" t="str">
        <x:v>Vrij besteedbaar</x:v>
      </x:c>
      <x:c r="H11" s="6"/>
      <x:c r="I11" s="6"/>
      <x:c r="J11" s="27" t="str">
        <x:v>Nettovermogen</x:v>
      </x:c>
      <x:c r="K11" s="6"/>
      <x:c r="L11" s="6"/>
      <x:c r="M11" s="27" t="str">
        <x:v>Cashflow 3m gemiddeld</x:v>
      </x:c>
      <x:c r="N11" s="6"/>
      <x:c r="O11" s="6"/>
      <x:c r="P11" s="2"/>
      <x:c r="Q11" s="2"/>
      <x:c r="R11" s="2" t="str">
        <x:f>'Monthly Reports'!O11</x:f>
        <x:v>Apr 26</x:v>
      </x:c>
      <x:c r="S11" s="2" t="str">
        <x:f>IF(ISNUMBER('Monthly Reports'!J11),'Monthly Reports'!J11,"")</x:f>
      </x:c>
      <x:c r="T11" s="2" t="str">
        <x:f>IF(ISNUMBER('Monthly Reports'!B11),'Monthly Reports'!B11,"")</x:f>
      </x:c>
      <x:c r="U11" s="2" t="str">
        <x:f>IF(ISNUMBER('Monthly Reports'!C11),'Monthly Reports'!C11,"")</x:f>
      </x:c>
      <x:c r="V11" s="2" t="str">
        <x:f>IF(ISNUMBER('Monthly Reports'!E11),'Monthly Reports'!E11,"")</x:f>
      </x:c>
      <x:c r="W11" s="2" t="str">
        <x:f>IF(ISNUMBER('Monthly Reports'!F11),'Monthly Reports'!F11,"")</x:f>
      </x:c>
      <x:c r="X11" s="2" t="str">
        <x:f>IF(ISNUMBER('Monthly Reports'!D11),'Monthly Reports'!D11,"")</x:f>
      </x:c>
      <x:c r="Y11" s="2" t="str">
        <x:f>IF(ISNUMBER('Monthly Reports'!S11),'Monthly Reports'!S11,"")</x:f>
      </x:c>
      <x:c r="Z11" s="2" t="str">
        <x:f>IF(ISNUMBER('Cash Flow Forecast'!M11),'Cash Flow Forecast'!M11,"")</x:f>
      </x:c>
      <x:c r="AA11" s="2"/>
      <x:c r="AB11" s="2"/>
    </x:row>
    <x:row r="12" ht="24" customHeight="1">
      <x:c r="A12" s="37" t="str">
        <x:f>'Net Worth'!E12</x:f>
        <x:v>n.b.</x:v>
      </x:c>
      <x:c r="B12" s="6"/>
      <x:c r="C12" s="6"/>
      <x:c r="D12" s="37" t="str">
        <x:f>'Net Worth'!E13</x:f>
        <x:v>n.b.</x:v>
      </x:c>
      <x:c r="E12" s="6"/>
      <x:c r="F12" s="6"/>
      <x:c r="G12" s="39" t="str">
        <x:f>'Net Worth'!E15</x:f>
        <x:v>n.b.</x:v>
      </x:c>
      <x:c r="H12" s="6"/>
      <x:c r="I12" s="6"/>
      <x:c r="J12" s="41" t="str">
        <x:f>'Net Worth'!E16</x:f>
        <x:v>n.b.</x:v>
      </x:c>
      <x:c r="K12" s="6"/>
      <x:c r="L12" s="6"/>
      <x:c r="M12" s="39" t="str">
        <x:f>IF(COUNT(INDEX('Monthly Reports'!F6:F29,MATCH(EDATE(DATE(YEAR('Settings &amp; Assumptions'!$B$6),MONTH('Settings &amp; Assumptions'!$B$6),1),-1),'Monthly Reports'!A6:A29,0)),INDEX('Monthly Reports'!F6:F29,MATCH(EDATE(DATE(YEAR('Settings &amp; Assumptions'!$B$6),MONTH('Settings &amp; Assumptions'!$B$6),1),-2),'Monthly Reports'!A6:A29,0)),INDEX('Monthly Reports'!F6:F29,MATCH(EDATE(DATE(YEAR('Settings &amp; Assumptions'!$B$6),MONTH('Settings &amp; Assumptions'!$B$6),1),-3),'Monthly Reports'!A6:A29,0)))&lt;3,"n.b.",AVERAGE(INDEX('Monthly Reports'!F6:F29,MATCH(EDATE(DATE(YEAR('Settings &amp; Assumptions'!$B$6),MONTH('Settings &amp; Assumptions'!$B$6),1),-1),'Monthly Reports'!A6:A29,0)),INDEX('Monthly Reports'!F6:F29,MATCH(EDATE(DATE(YEAR('Settings &amp; Assumptions'!$B$6),MONTH('Settings &amp; Assumptions'!$B$6),1),-2),'Monthly Reports'!A6:A29,0)),INDEX('Monthly Reports'!F6:F29,MATCH(EDATE(DATE(YEAR('Settings &amp; Assumptions'!$B$6),MONTH('Settings &amp; Assumptions'!$B$6),1),-3),'Monthly Reports'!A6:A29,0))))</x:f>
        <x:v>n.b.</x:v>
      </x:c>
      <x:c r="N12" s="6"/>
      <x:c r="O12" s="6"/>
      <x:c r="P12" s="2"/>
      <x:c r="Q12" s="2"/>
      <x:c r="R12" s="2" t="str">
        <x:f>'Monthly Reports'!O12</x:f>
        <x:v>May 26</x:v>
      </x:c>
      <x:c r="S12" s="2" t="str">
        <x:f>IF(ISNUMBER('Monthly Reports'!J12),'Monthly Reports'!J12,"")</x:f>
      </x:c>
      <x:c r="T12" s="2" t="str">
        <x:f>IF(ISNUMBER('Monthly Reports'!B12),'Monthly Reports'!B12,"")</x:f>
      </x:c>
      <x:c r="U12" s="2" t="str">
        <x:f>IF(ISNUMBER('Monthly Reports'!C12),'Monthly Reports'!C12,"")</x:f>
      </x:c>
      <x:c r="V12" s="2" t="str">
        <x:f>IF(ISNUMBER('Monthly Reports'!E12),'Monthly Reports'!E12,"")</x:f>
      </x:c>
      <x:c r="W12" s="2" t="str">
        <x:f>IF(ISNUMBER('Monthly Reports'!F12),'Monthly Reports'!F12,"")</x:f>
      </x:c>
      <x:c r="X12" s="2" t="str">
        <x:f>IF(ISNUMBER('Monthly Reports'!D12),'Monthly Reports'!D12,"")</x:f>
      </x:c>
      <x:c r="Y12" s="2" t="str">
        <x:f>IF(ISNUMBER('Monthly Reports'!S12),'Monthly Reports'!S12,"")</x:f>
      </x:c>
      <x:c r="Z12" s="2" t="str">
        <x:f>IF(ISNUMBER('Cash Flow Forecast'!M12),'Cash Flow Forecast'!M12,"")</x:f>
      </x:c>
      <x:c r="AA12" s="2"/>
      <x:c r="AB12" s="2"/>
    </x:row>
    <x:row r="13" ht="24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2"/>
      <x:c r="Q13" s="2"/>
      <x:c r="R13" s="2" t="str">
        <x:f>'Monthly Reports'!O13</x:f>
        <x:v>Jun 26</x:v>
      </x:c>
      <x:c r="S13" s="2" t="str">
        <x:f>IF(ISNUMBER('Monthly Reports'!J13),'Monthly Reports'!J13,"")</x:f>
      </x:c>
      <x:c r="T13" s="2" t="str">
        <x:f>IF(ISNUMBER('Monthly Reports'!B13),'Monthly Reports'!B13,"")</x:f>
      </x:c>
      <x:c r="U13" s="2" t="str">
        <x:f>IF(ISNUMBER('Monthly Reports'!C13),'Monthly Reports'!C13,"")</x:f>
      </x:c>
      <x:c r="V13" s="2" t="str">
        <x:f>IF(ISNUMBER('Monthly Reports'!E13),'Monthly Reports'!E13,"")</x:f>
      </x:c>
      <x:c r="W13" s="2" t="str">
        <x:f>IF(ISNUMBER('Monthly Reports'!F13),'Monthly Reports'!F13,"")</x:f>
      </x:c>
      <x:c r="X13" s="2" t="str">
        <x:f>IF(ISNUMBER('Monthly Reports'!D13),'Monthly Reports'!D13,"")</x:f>
      </x:c>
      <x:c r="Y13" s="2" t="str">
        <x:f>IF(ISNUMBER('Monthly Reports'!S13),'Monthly Reports'!S13,"")</x:f>
      </x:c>
      <x:c r="Z13" s="2" t="str">
        <x:f>IF(ISNUMBER('Cash Flow Forecast'!M13),'Cash Flow Forecast'!M13,"")</x:f>
      </x:c>
      <x:c r="AA13" s="2"/>
      <x:c r="AB13" s="2"/>
    </x:row>
    <x:row r="14" ht="24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2"/>
      <x:c r="Q14" s="2"/>
      <x:c r="R14" s="2" t="str">
        <x:f>'Monthly Reports'!O14</x:f>
        <x:v>Jul 26</x:v>
      </x:c>
      <x:c r="S14" s="2" t="str">
        <x:f>IF(ISNUMBER('Monthly Reports'!J14),'Monthly Reports'!J14,"")</x:f>
      </x:c>
      <x:c r="T14" s="2" t="str">
        <x:f>IF(ISNUMBER('Monthly Reports'!B14),'Monthly Reports'!B14,"")</x:f>
      </x:c>
      <x:c r="U14" s="2" t="str">
        <x:f>IF(ISNUMBER('Monthly Reports'!C14),'Monthly Reports'!C14,"")</x:f>
      </x:c>
      <x:c r="V14" s="2" t="str">
        <x:f>IF(ISNUMBER('Monthly Reports'!E14),'Monthly Reports'!E14,"")</x:f>
      </x:c>
      <x:c r="W14" s="2" t="str">
        <x:f>IF(ISNUMBER('Monthly Reports'!F14),'Monthly Reports'!F14,"")</x:f>
      </x:c>
      <x:c r="X14" s="2" t="str">
        <x:f>IF(ISNUMBER('Monthly Reports'!D14),'Monthly Reports'!D14,"")</x:f>
      </x:c>
      <x:c r="Y14" s="2" t="str">
        <x:f>IF(ISNUMBER('Monthly Reports'!S14),'Monthly Reports'!S14,"")</x:f>
      </x:c>
      <x:c r="Z14" s="2" t="str">
        <x:f>IF(ISNUMBER('Cash Flow Forecast'!M14),'Cash Flow Forecast'!M14,"")</x:f>
      </x:c>
      <x:c r="AA14" s="2"/>
      <x:c r="AB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 t="str">
        <x:f>'Monthly Reports'!O15</x:f>
        <x:v>Aug 26</x:v>
      </x:c>
      <x:c r="S15" s="2" t="str">
        <x:f>IF(ISNUMBER('Monthly Reports'!J15),'Monthly Reports'!J15,"")</x:f>
      </x:c>
      <x:c r="T15" s="2" t="str">
        <x:f>IF(ISNUMBER('Monthly Reports'!B15),'Monthly Reports'!B15,"")</x:f>
      </x:c>
      <x:c r="U15" s="2" t="str">
        <x:f>IF(ISNUMBER('Monthly Reports'!C15),'Monthly Reports'!C15,"")</x:f>
      </x:c>
      <x:c r="V15" s="2" t="str">
        <x:f>IF(ISNUMBER('Monthly Reports'!E15),'Monthly Reports'!E15,"")</x:f>
      </x:c>
      <x:c r="W15" s="2" t="str">
        <x:f>IF(ISNUMBER('Monthly Reports'!F15),'Monthly Reports'!F15,"")</x:f>
      </x:c>
      <x:c r="X15" s="2" t="str">
        <x:f>IF(ISNUMBER('Monthly Reports'!D15),'Monthly Reports'!D15,"")</x:f>
      </x:c>
      <x:c r="Y15" s="2" t="str">
        <x:f>IF(ISNUMBER('Monthly Reports'!S15),'Monthly Reports'!S15,"")</x:f>
      </x:c>
      <x:c r="Z15" s="2" t="str">
        <x:f>IF(ISNUMBER('Cash Flow Forecast'!M15),'Cash Flow Forecast'!M15,"")</x:f>
      </x:c>
      <x:c r="AA15" s="2"/>
      <x:c r="AB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 t="str">
        <x:f>'Monthly Reports'!O16</x:f>
        <x:v>Sep 26</x:v>
      </x:c>
      <x:c r="S16" s="2" t="str">
        <x:f>IF(ISNUMBER('Monthly Reports'!J16),'Monthly Reports'!J16,"")</x:f>
      </x:c>
      <x:c r="T16" s="2" t="str">
        <x:f>IF(ISNUMBER('Monthly Reports'!B16),'Monthly Reports'!B16,"")</x:f>
      </x:c>
      <x:c r="U16" s="2" t="str">
        <x:f>IF(ISNUMBER('Monthly Reports'!C16),'Monthly Reports'!C16,"")</x:f>
      </x:c>
      <x:c r="V16" s="2" t="str">
        <x:f>IF(ISNUMBER('Monthly Reports'!E16),'Monthly Reports'!E16,"")</x:f>
      </x:c>
      <x:c r="W16" s="2" t="str">
        <x:f>IF(ISNUMBER('Monthly Reports'!F16),'Monthly Reports'!F16,"")</x:f>
      </x:c>
      <x:c r="X16" s="2" t="str">
        <x:f>IF(ISNUMBER('Monthly Reports'!D16),'Monthly Reports'!D16,"")</x:f>
      </x:c>
      <x:c r="Y16" s="2" t="str">
        <x:f>IF(ISNUMBER('Monthly Reports'!S16),'Monthly Reports'!S16,"")</x:f>
      </x:c>
      <x:c r="Z16" s="2" t="str">
        <x:f>IF(ISNUMBER('Cash Flow Forecast'!M16),'Cash Flow Forecast'!M16,"")</x:f>
      </x:c>
      <x:c r="AA16" s="2"/>
      <x:c r="AB16" s="2"/>
    </x:row>
    <x:row r="17" ht="24" customHeight="1">
      <x:c r="A17" s="2" t="str">
        <x:v>Zakelijk</x:v>
      </x:c>
      <x:c r="B17" s="2"/>
      <x:c r="C17" s="2"/>
      <x:c r="D17" s="2"/>
      <x:c r="E17" s="2"/>
      <x:c r="F17" s="2" t="str">
        <x:v>Privé</x:v>
      </x:c>
      <x:c r="G17" s="2"/>
      <x:c r="H17" s="2"/>
      <x:c r="I17" s="2"/>
      <x:c r="J17" s="2"/>
      <x:c r="K17" s="2" t="str">
        <x:v>Bus en vrijheid</x:v>
      </x:c>
      <x:c r="L17" s="2"/>
      <x:c r="M17" s="2"/>
      <x:c r="N17" s="2"/>
      <x:c r="O17" s="2"/>
      <x:c r="P17" s="2"/>
      <x:c r="Q17" s="2"/>
      <x:c r="R17" s="2" t="str">
        <x:f>'Monthly Reports'!O17</x:f>
        <x:v>Oct 26</x:v>
      </x:c>
      <x:c r="S17" s="2" t="str">
        <x:f>IF(ISNUMBER('Monthly Reports'!J17),'Monthly Reports'!J17,"")</x:f>
      </x:c>
      <x:c r="T17" s="2" t="str">
        <x:f>IF(ISNUMBER('Monthly Reports'!B17),'Monthly Reports'!B17,"")</x:f>
      </x:c>
      <x:c r="U17" s="2" t="str">
        <x:f>IF(ISNUMBER('Monthly Reports'!C17),'Monthly Reports'!C17,"")</x:f>
      </x:c>
      <x:c r="V17" s="2" t="str">
        <x:f>IF(ISNUMBER('Monthly Reports'!E17),'Monthly Reports'!E17,"")</x:f>
      </x:c>
      <x:c r="W17" s="2" t="str">
        <x:f>IF(ISNUMBER('Monthly Reports'!F17),'Monthly Reports'!F17,"")</x:f>
      </x:c>
      <x:c r="X17" s="2" t="str">
        <x:f>IF(ISNUMBER('Monthly Reports'!D17),'Monthly Reports'!D17,"")</x:f>
      </x:c>
      <x:c r="Y17" s="2" t="str">
        <x:f>IF(ISNUMBER('Monthly Reports'!S17),'Monthly Reports'!S17,"")</x:f>
      </x:c>
      <x:c r="Z17" s="2" t="str">
        <x:f>IF(ISNUMBER('Cash Flow Forecast'!M17),'Cash Flow Forecast'!M17,"")</x:f>
      </x:c>
      <x:c r="AA17" s="2"/>
      <x:c r="AB17" s="2"/>
    </x:row>
    <x:row r="18" ht="24" customHeight="1">
      <x:c r="A18" s="2" t="str">
        <x:v>Omzet maand</x:v>
      </x:c>
      <x:c r="B18" s="2"/>
      <x:c r="C18" s="2"/>
      <x:c r="D18" s="2"/>
      <x:c r="E18" s="2"/>
      <x:c r="F18" s="2" t="str">
        <x:v>Uitgaven maand</x:v>
      </x:c>
      <x:c r="G18" s="2"/>
      <x:c r="H18" s="2"/>
      <x:c r="I18" s="2"/>
      <x:c r="J18" s="2"/>
      <x:c r="K18" s="2" t="str">
        <x:v>Bus nog nodig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16" t="str">
        <x:f>'Business Overview'!E6</x:f>
        <x:v>n.b.</x:v>
      </x:c>
      <x:c r="B19" s="2"/>
      <x:c r="C19" s="2"/>
      <x:c r="D19" s="2"/>
      <x:c r="E19" s="2"/>
      <x:c r="F19" s="16" t="str">
        <x:f>'Private Overview'!E6</x:f>
        <x:v>n.b.</x:v>
      </x:c>
      <x:c r="G19" s="2"/>
      <x:c r="H19" s="2"/>
      <x:c r="I19" s="2"/>
      <x:c r="J19" s="2"/>
      <x:c r="K19" s="16" t="str">
        <x:f>'Van Purchase'!E19</x:f>
        <x:v>n.b.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v>Winst maand</x:v>
      </x:c>
      <x:c r="B20" s="2"/>
      <x:c r="C20" s="2"/>
      <x:c r="D20" s="2"/>
      <x:c r="E20" s="2"/>
      <x:c r="F20" s="2" t="str">
        <x:v>Runway maanden</x:v>
      </x:c>
      <x:c r="G20" s="2"/>
      <x:c r="H20" s="2"/>
      <x:c r="I20" s="2"/>
      <x:c r="J20" s="2"/>
      <x:c r="K20" s="2" t="str">
        <x:v>Extra werkdagen</x:v>
      </x:c>
      <x:c r="L20" s="2"/>
      <x:c r="M20" s="2"/>
      <x:c r="N20" s="2"/>
      <x:c r="O20" s="2"/>
      <x:c r="P20" s="2"/>
      <x:c r="Q20" s="2"/>
      <x:c r="R20" s="2" t="str">
        <x:v>Doel</x:v>
      </x:c>
      <x:c r="S20" s="2" t="str">
        <x:v>Gespaard</x:v>
      </x:c>
      <x:c r="T20" s="2" t="str">
        <x:v>Nog nodig</x:v>
      </x:c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16" t="str">
        <x:f>'Business Overview'!E11</x:f>
        <x:v>n.b.</x:v>
      </x:c>
      <x:c r="B21" s="2"/>
      <x:c r="C21" s="2"/>
      <x:c r="D21" s="2"/>
      <x:c r="E21" s="2"/>
      <x:c r="F21" s="19" t="str">
        <x:f>'Private Overview'!E11</x:f>
        <x:v>n.b.</x:v>
      </x:c>
      <x:c r="G21" s="2"/>
      <x:c r="H21" s="2"/>
      <x:c r="I21" s="2"/>
      <x:c r="J21" s="2"/>
      <x:c r="K21" s="19" t="str">
        <x:f>'Van Purchase'!E20</x:f>
        <x:v>n.b.</x:v>
      </x:c>
      <x:c r="L21" s="2"/>
      <x:c r="M21" s="2"/>
      <x:c r="N21" s="2"/>
      <x:c r="O21" s="2"/>
      <x:c r="P21" s="2"/>
      <x:c r="Q21" s="2"/>
      <x:c r="R21" s="2" t="str">
        <x:f>IF('Financial Goals'!A6="","",'Financial Goals'!A6)</x:f>
        <x:v>Sprinter</x:v>
      </x:c>
      <x:c r="S21" s="2" t="str">
        <x:f>IF('Financial Goals'!C6="","",'Financial Goals'!C6)</x:f>
      </x:c>
      <x:c r="T21" s="2" t="str">
        <x:f>IF('Financial Goals'!E6="","",'Financial Goals'!E6)</x:f>
        <x:v>n.b.</x:v>
      </x:c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 t="str">
        <x:f>IF('Financial Goals'!A7="","",'Financial Goals'!A7)</x:f>
        <x:v>Ombouw</x:v>
      </x:c>
      <x:c r="S22" s="2" t="str">
        <x:f>IF('Financial Goals'!C7="","",'Financial Goals'!C7)</x:f>
      </x:c>
      <x:c r="T22" s="2" t="str">
        <x:f>IF('Financial Goals'!E7="","",'Financial Goals'!E7)</x:f>
        <x:v>n.b.</x:v>
      </x:c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 t="str">
        <x:f>IF('Financial Goals'!A8="","",'Financial Goals'!A8)</x:f>
        <x:v>Noodbuffer</x:v>
      </x:c>
      <x:c r="S23" s="2" t="str">
        <x:f>IF('Financial Goals'!C8="","",'Financial Goals'!C8)</x:f>
      </x:c>
      <x:c r="T23" s="2" t="str">
        <x:f>IF('Financial Goals'!E8="","",'Financial Goals'!E8)</x:f>
        <x:v>n.b.</x:v>
      </x:c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 t="str">
        <x:f>IF('Financial Goals'!A9="","",'Financial Goals'!A9)</x:f>
        <x:v>Reisfonds</x:v>
      </x:c>
      <x:c r="S24" s="2" t="str">
        <x:f>IF('Financial Goals'!C9="","",'Financial Goals'!C9)</x:f>
      </x:c>
      <x:c r="T24" s="2" t="str">
        <x:f>IF('Financial Goals'!E9="","",'Financial Goals'!E9)</x:f>
        <x:v>n.b.</x:v>
      </x:c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 t="str">
        <x:f>IF('Financial Goals'!A10="","",'Financial Goals'!A10)</x:f>
        <x:v>Investeringsinleg</x:v>
      </x:c>
      <x:c r="S25" s="2" t="str">
        <x:f>IF('Financial Goals'!C10="","",'Financial Goals'!C10)</x:f>
      </x:c>
      <x:c r="T25" s="2" t="str">
        <x:f>IF('Financial Goals'!E10="","",'Financial Goals'!E10)</x:f>
        <x:v>n.b.</x:v>
      </x:c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 t="str">
        <x:v>Maand</x:v>
      </x:c>
      <x:c r="S29" s="2" t="str">
        <x:v>Eindcash</x:v>
      </x:c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 t="str">
        <x:f>TEXT('Cash Flow Forecast'!A6,"mmm yy")</x:f>
        <x:v>Nov 26</x:v>
      </x:c>
      <x:c r="S30" s="2" t="str">
        <x:f>IF(ISNUMBER('Cash Flow Forecast'!M6),'Cash Flow Forecast'!M6,"")</x:f>
      </x:c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 t="str">
        <x:f>TEXT('Cash Flow Forecast'!A7,"mmm yy")</x:f>
        <x:v>Dec 26</x:v>
      </x:c>
      <x:c r="S31" s="2" t="str">
        <x:f>IF(ISNUMBER('Cash Flow Forecast'!M7),'Cash Flow Forecast'!M7,"")</x:f>
      </x:c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 t="str">
        <x:f>TEXT('Cash Flow Forecast'!A8,"mmm yy")</x:f>
        <x:v>Jan 27</x:v>
      </x:c>
      <x:c r="S32" s="2" t="str">
        <x:f>IF(ISNUMBER('Cash Flow Forecast'!M8),'Cash Flow Forecast'!M8,"")</x:f>
      </x:c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 t="str">
        <x:f>TEXT('Cash Flow Forecast'!A9,"mmm yy")</x:f>
        <x:v>Feb 27</x:v>
      </x:c>
      <x:c r="S33" s="2" t="str">
        <x:f>IF(ISNUMBER('Cash Flow Forecast'!M9),'Cash Flow Forecast'!M9,"")</x:f>
      </x:c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 t="str">
        <x:f>TEXT('Cash Flow Forecast'!A10,"mmm yy")</x:f>
        <x:v>Mar 27</x:v>
      </x:c>
      <x:c r="S34" s="2" t="str">
        <x:f>IF(ISNUMBER('Cash Flow Forecast'!M10),'Cash Flow Forecast'!M10,"")</x:f>
      </x:c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 t="str">
        <x:f>TEXT('Cash Flow Forecast'!A11,"mmm yy")</x:f>
        <x:v>Apr 27</x:v>
      </x:c>
      <x:c r="S35" s="2" t="str">
        <x:f>IF(ISNUMBER('Cash Flow Forecast'!M11),'Cash Flow Forecast'!M11,"")</x:f>
      </x:c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 t="str">
        <x:f>TEXT('Cash Flow Forecast'!A12,"mmm yy")</x:f>
        <x:v>May 27</x:v>
      </x:c>
      <x:c r="S36" s="2" t="str">
        <x:f>IF(ISNUMBER('Cash Flow Forecast'!M12),'Cash Flow Forecast'!M12,"")</x:f>
      </x:c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 t="str">
        <x:f>TEXT('Cash Flow Forecast'!A13,"mmm yy")</x:f>
        <x:v>Jun 27</x:v>
      </x:c>
      <x:c r="S37" s="2" t="str">
        <x:f>IF(ISNUMBER('Cash Flow Forecast'!M13),'Cash Flow Forecast'!M13,"")</x:f>
      </x:c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 t="str">
        <x:f>TEXT('Cash Flow Forecast'!A14,"mmm yy")</x:f>
        <x:v>Jul 27</x:v>
      </x:c>
      <x:c r="S38" s="2" t="str">
        <x:f>IF(ISNUMBER('Cash Flow Forecast'!M14),'Cash Flow Forecast'!M14,"")</x:f>
      </x:c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 t="str">
        <x:f>TEXT('Cash Flow Forecast'!A15,"mmm yy")</x:f>
        <x:v>Aug 27</x:v>
      </x:c>
      <x:c r="S39" s="2" t="str">
        <x:f>IF(ISNUMBER('Cash Flow Forecast'!M15),'Cash Flow Forecast'!M15,"")</x:f>
      </x:c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 t="str">
        <x:f>TEXT('Cash Flow Forecast'!A16,"mmm yy")</x:f>
        <x:v>Sep 27</x:v>
      </x:c>
      <x:c r="S40" s="2" t="str">
        <x:f>IF(ISNUMBER('Cash Flow Forecast'!M16),'Cash Flow Forecast'!M16,"")</x:f>
      </x:c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 t="str">
        <x:f>TEXT('Cash Flow Forecast'!A17,"mmm yy")</x:f>
        <x:v>Oct 27</x:v>
      </x:c>
      <x:c r="S41" s="2" t="str">
        <x:f>IF(ISNUMBER('Cash Flow Forecast'!M17),'Cash Flow Forecast'!M17,"")</x:f>
      </x:c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32" customHeight="1">
      <x:c r="A88" s="5" t="str">
        <x:v>Grafieken tonen pas een lijn of balk wanneer de benodigde werkelijke gegevens of planningsinvoer beschikbaar zijn.</x:v>
      </x:c>
      <x:c r="B88" s="5" t="str">
        <x:v>Grafieken tonen pas een lijn of balk wanneer de benodigde werkelijke gegevens of planningsinvoer beschikbaar zijn.</x:v>
      </x:c>
      <x:c r="C88" s="5" t="str">
        <x:v>Grafieken tonen pas een lijn of balk wanneer de benodigde werkelijke gegevens of planningsinvoer beschikbaar zijn.</x:v>
      </x:c>
      <x:c r="D88" s="5" t="str">
        <x:v>Grafieken tonen pas een lijn of balk wanneer de benodigde werkelijke gegevens of planningsinvoer beschikbaar zijn.</x:v>
      </x:c>
      <x:c r="E88" s="5" t="str">
        <x:v>Grafieken tonen pas een lijn of balk wanneer de benodigde werkelijke gegevens of planningsinvoer beschikbaar zijn.</x:v>
      </x:c>
      <x:c r="F88" s="5" t="str">
        <x:v>Grafieken tonen pas een lijn of balk wanneer de benodigde werkelijke gegevens of planningsinvoer beschikbaar zijn.</x:v>
      </x:c>
      <x:c r="G88" s="5" t="str">
        <x:v>Grafieken tonen pas een lijn of balk wanneer de benodigde werkelijke gegevens of planningsinvoer beschikbaar zijn.</x:v>
      </x:c>
      <x:c r="H88" s="5" t="str">
        <x:v>Grafieken tonen pas een lijn of balk wanneer de benodigde werkelijke gegevens of planningsinvoer beschikbaar zijn.</x:v>
      </x:c>
      <x:c r="I88" s="5" t="str">
        <x:v>Grafieken tonen pas een lijn of balk wanneer de benodigde werkelijke gegevens of planningsinvoer beschikbaar zijn.</x:v>
      </x:c>
      <x:c r="J88" s="5" t="str">
        <x:v>Grafieken tonen pas een lijn of balk wanneer de benodigde werkelijke gegevens of planningsinvoer beschikbaar zijn.</x:v>
      </x:c>
      <x:c r="K88" s="5" t="str">
        <x:v>Grafieken tonen pas een lijn of balk wanneer de benodigde werkelijke gegevens of planningsinvoer beschikbaar zijn.</x:v>
      </x:c>
      <x:c r="L88" s="5" t="str">
        <x:v>Grafieken tonen pas een lijn of balk wanneer de benodigde werkelijke gegevens of planningsinvoer beschikbaar zijn.</x:v>
      </x:c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</x:sheetData>
  <x:mergeCells>
    <x:mergeCell ref="A2:L2"/>
    <x:mergeCell ref="A3:L3"/>
    <x:mergeCell ref="A4:P4"/>
    <x:mergeCell ref="A6:C6"/>
    <x:mergeCell ref="A7:C9"/>
    <x:mergeCell ref="D6:F6"/>
    <x:mergeCell ref="D7:F9"/>
    <x:mergeCell ref="G6:I6"/>
    <x:mergeCell ref="G7:I9"/>
    <x:mergeCell ref="J6:L6"/>
    <x:mergeCell ref="J7:L9"/>
    <x:mergeCell ref="M6:O6"/>
    <x:mergeCell ref="M7:O9"/>
    <x:mergeCell ref="A11:C11"/>
    <x:mergeCell ref="A12:C14"/>
    <x:mergeCell ref="D11:F11"/>
    <x:mergeCell ref="D12:F14"/>
    <x:mergeCell ref="G11:I11"/>
    <x:mergeCell ref="G12:I14"/>
    <x:mergeCell ref="J11:L11"/>
    <x:mergeCell ref="J12:L14"/>
    <x:mergeCell ref="M11:O11"/>
    <x:mergeCell ref="M12:O14"/>
    <x:mergeCell ref="A88:L88"/>
  </x:mergeCells>
  <x:pageMargins left="0.7" right="0.7" top="0.75" bottom="0.75" header="0.3" footer="0.3"/>
  <x:drawing xmlns:r="http://schemas.openxmlformats.org/officeDocument/2006/relationships" r:id="R3d8d94650a9f4a89"/>
</x:worksheet>
</file>

<file path=xl/worksheets/sheet2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5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Banktransacties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Originele export blijft in snapshot.json. Corrigeer category, classification, recurring en notes. Bankontvangsten zijn geen factuuromzet.</x:v>
      </x:c>
      <x:c r="B3" s="5" t="str">
        <x:v>Originele export blijft in snapshot.json. Corrigeer category, classification, recurring en notes. Bankontvangsten zijn geen factuuromzet.</x:v>
      </x:c>
      <x:c r="C3" s="5" t="str">
        <x:v>Originele export blijft in snapshot.json. Corrigeer category, classification, recurring en notes. Bankontvangsten zijn geen factuuromzet.</x:v>
      </x:c>
      <x:c r="D3" s="5" t="str">
        <x:v>Originele export blijft in snapshot.json. Corrigeer category, classification, recurring en notes. Bankontvangsten zijn geen factuuromzet.</x:v>
      </x:c>
      <x:c r="E3" s="5" t="str">
        <x:v>Originele export blijft in snapshot.json. Corrigeer category, classification, recurring en notes. Bankontvangsten zijn geen factuuromzet.</x:v>
      </x:c>
      <x:c r="F3" s="5" t="str">
        <x:v>Originele export blijft in snapshot.json. Corrigeer category, classification, recurring en notes. Bankontvangsten zijn geen factuuromzet.</x:v>
      </x:c>
      <x:c r="G3" s="5" t="str">
        <x:v>Originele export blijft in snapshot.json. Corrigeer category, classification, recurring en notes. Bankontvangsten zijn geen factuuromzet.</x:v>
      </x:c>
      <x:c r="H3" s="5" t="str">
        <x:v>Originele export blijft in snapshot.json. Corrigeer category, classification, recurring en notes. Bankontvangsten zijn geen factuuromzet.</x:v>
      </x:c>
      <x:c r="I3" s="5" t="str">
        <x:v>Originele export blijft in snapshot.json. Corrigeer category, classification, recurring en notes. Bankontvangsten zijn geen factuuromzet.</x:v>
      </x:c>
      <x:c r="J3" s="5" t="str">
        <x:v>Originele export blijft in snapshot.json. Corrigeer category, classification, recurring en notes. Bankontvangsten zijn geen factuuromzet.</x:v>
      </x:c>
      <x:c r="K3" s="5" t="str">
        <x:v>Originele export blijft in snapshot.json. Corrigeer category, classification, recurring en notes. Bankontvangsten zijn geen factuuromzet.</x:v>
      </x:c>
      <x:c r="L3" s="5" t="str">
        <x:v>Originele export blijft in snapshot.json. Corrigeer category, classification, recurring en notes. Bankontvangsten zijn geen factuuromzet.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id</x:v>
      </x:c>
      <x:c r="B5" s="8" t="str">
        <x:v>stable_key</x:v>
      </x:c>
      <x:c r="C5" s="8" t="str">
        <x:v>transaction_date</x:v>
      </x:c>
      <x:c r="D5" s="8" t="str">
        <x:v>booking_date</x:v>
      </x:c>
      <x:c r="E5" s="8" t="str">
        <x:v>amount</x:v>
      </x:c>
      <x:c r="F5" s="8" t="str">
        <x:v>currency</x:v>
      </x:c>
      <x:c r="G5" s="8" t="str">
        <x:v>account_id</x:v>
      </x:c>
      <x:c r="H5" s="8" t="str">
        <x:v>account_name</x:v>
      </x:c>
      <x:c r="I5" s="8" t="str">
        <x:v>account_type</x:v>
      </x:c>
      <x:c r="J5" s="8" t="str">
        <x:v>counterparty</x:v>
      </x:c>
      <x:c r="K5" s="8" t="str">
        <x:v>description</x:v>
      </x:c>
      <x:c r="L5" s="8" t="str">
        <x:v>source_category</x:v>
      </x:c>
      <x:c r="M5" s="8" t="str">
        <x:v>category</x:v>
      </x:c>
      <x:c r="N5" s="8" t="str">
        <x:v>subcategory</x:v>
      </x:c>
      <x:c r="O5" s="8" t="str">
        <x:v>vat_treatment</x:v>
      </x:c>
      <x:c r="P5" s="8" t="str">
        <x:v>classification</x:v>
      </x:c>
      <x:c r="Q5" s="8" t="str">
        <x:v>recurring</x:v>
      </x:c>
      <x:c r="R5" s="8" t="str">
        <x:v>direction</x:v>
      </x:c>
      <x:c r="S5" s="8" t="str">
        <x:v>internal_transfer</x:v>
      </x:c>
      <x:c r="T5" s="8" t="str">
        <x:v>reconciliation</x:v>
      </x:c>
      <x:c r="U5" s="8" t="str">
        <x:v>notes</x:v>
      </x:c>
      <x:c r="V5" s="8" t="str">
        <x:v>duplicate_status</x:v>
      </x:c>
      <x:c r="W5" s="8" t="str">
        <x:v>source_hash</x:v>
      </x:c>
      <x:c r="X5" s="8" t="str">
        <x:v>source_updated_at</x:v>
      </x:c>
      <x:c r="Y5" s="8" t="str">
        <x:v>include_in_totals</x:v>
      </x:c>
      <x:c r="Z5" s="8" t="str">
        <x:v>valid</x:v>
      </x:c>
      <x:c r="AA5" s="2"/>
      <x:c r="AB5" s="2"/>
    </x:row>
    <x:row r="6" ht="24" customHeight="1">
      <x:c r="A6" s="2"/>
      <x:c r="B6" s="2"/>
      <x:c r="C6" s="13"/>
      <x:c r="D6" s="13"/>
      <x:c r="E6" s="12"/>
      <x:c r="F6" s="2"/>
      <x:c r="G6" s="2"/>
      <x:c r="H6" s="2"/>
      <x:c r="I6" s="2" t="str">
        <x:f>IF(A6="","",IF(COUNTIFS(Accounts[id],G6)=1,INDEX(Accounts[type],MATCH(G6,Accounts[id],0)),"unknown"))</x:f>
      </x:c>
      <x:c r="J6" s="2"/>
      <x:c r="K6" s="2"/>
      <x:c r="L6" s="2"/>
      <x:c r="M6" s="9"/>
      <x:c r="N6" s="9"/>
      <x:c r="O6" s="9"/>
      <x:c r="P6" s="9"/>
      <x:c r="Q6" s="9"/>
      <x:c r="R6" s="2"/>
      <x:c r="S6" s="2"/>
      <x:c r="T6" s="2"/>
      <x:c r="U6" s="2"/>
      <x:c r="V6" s="2"/>
      <x:c r="W6" s="2"/>
      <x:c r="X6" s="2"/>
      <x:c r="Y6" s="2" t="n">
        <x:f>IF(A6="",0,IF(COUNTIFS(Accounts[id],G6,Accounts[include],1)=1,1,0))</x:f>
        <x:v>0</x:v>
      </x:c>
      <x:c r="Z6" s="2" t="n">
        <x:f>IF(A6="",0,IF(AND(ISNUMBER(D6),ISNUMBER(E6),F6="EUR",X6&lt;&gt;"",OR(P6="business",P6="private",P6="internal",P6="owner_transfer")),1,0))</x:f>
        <x:v>0</x:v>
      </x:c>
      <x:c r="AA6" s="2"/>
      <x:c r="AB6" s="2"/>
    </x:row>
    <x:row r="7" ht="24" customHeight="1">
      <x:c r="A7" s="2"/>
      <x:c r="B7" s="2"/>
      <x:c r="C7" s="13"/>
      <x:c r="D7" s="13"/>
      <x:c r="E7" s="12"/>
      <x:c r="F7" s="2"/>
      <x:c r="G7" s="2"/>
      <x:c r="H7" s="2"/>
      <x:c r="I7" s="2"/>
      <x:c r="J7" s="2"/>
      <x:c r="K7" s="2"/>
      <x:c r="L7" s="2"/>
      <x:c r="M7" s="9"/>
      <x:c r="N7" s="9"/>
      <x:c r="O7" s="9"/>
      <x:c r="P7" s="9"/>
      <x:c r="Q7" s="9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/>
      <x:c r="B8" s="2"/>
      <x:c r="C8" s="13"/>
      <x:c r="D8" s="13"/>
      <x:c r="E8" s="12"/>
      <x:c r="F8" s="2"/>
      <x:c r="G8" s="2"/>
      <x:c r="H8" s="2"/>
      <x:c r="I8" s="2"/>
      <x:c r="J8" s="2"/>
      <x:c r="K8" s="2"/>
      <x:c r="L8" s="2"/>
      <x:c r="M8" s="9"/>
      <x:c r="N8" s="9"/>
      <x:c r="O8" s="9"/>
      <x:c r="P8" s="9"/>
      <x:c r="Q8" s="9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/>
      <x:c r="B9" s="2"/>
      <x:c r="C9" s="13"/>
      <x:c r="D9" s="13"/>
      <x:c r="E9" s="12"/>
      <x:c r="F9" s="2"/>
      <x:c r="G9" s="2"/>
      <x:c r="H9" s="2"/>
      <x:c r="I9" s="2"/>
      <x:c r="J9" s="2"/>
      <x:c r="K9" s="2"/>
      <x:c r="L9" s="2"/>
      <x:c r="M9" s="9"/>
      <x:c r="N9" s="9"/>
      <x:c r="O9" s="9"/>
      <x:c r="P9" s="9"/>
      <x:c r="Q9" s="9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/>
      <x:c r="B10" s="2"/>
      <x:c r="C10" s="13"/>
      <x:c r="D10" s="13"/>
      <x:c r="E10" s="12"/>
      <x:c r="F10" s="2"/>
      <x:c r="G10" s="2"/>
      <x:c r="H10" s="2"/>
      <x:c r="I10" s="2"/>
      <x:c r="J10" s="2"/>
      <x:c r="K10" s="2"/>
      <x:c r="L10" s="2"/>
      <x:c r="M10" s="9"/>
      <x:c r="N10" s="9"/>
      <x:c r="O10" s="9"/>
      <x:c r="P10" s="9"/>
      <x:c r="Q10" s="9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/>
      <x:c r="B11" s="2"/>
      <x:c r="C11" s="13"/>
      <x:c r="D11" s="13"/>
      <x:c r="E11" s="12"/>
      <x:c r="F11" s="2"/>
      <x:c r="G11" s="2"/>
      <x:c r="H11" s="2"/>
      <x:c r="I11" s="2"/>
      <x:c r="J11" s="2"/>
      <x:c r="K11" s="2"/>
      <x:c r="L11" s="2"/>
      <x:c r="M11" s="9"/>
      <x:c r="N11" s="9"/>
      <x:c r="O11" s="9"/>
      <x:c r="P11" s="9"/>
      <x:c r="Q11" s="9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/>
      <x:c r="B12" s="2"/>
      <x:c r="C12" s="13"/>
      <x:c r="D12" s="13"/>
      <x:c r="E12" s="12"/>
      <x:c r="F12" s="2"/>
      <x:c r="G12" s="2"/>
      <x:c r="H12" s="2"/>
      <x:c r="I12" s="2"/>
      <x:c r="J12" s="2"/>
      <x:c r="K12" s="2"/>
      <x:c r="L12" s="2"/>
      <x:c r="M12" s="9"/>
      <x:c r="N12" s="9"/>
      <x:c r="O12" s="9"/>
      <x:c r="P12" s="9"/>
      <x:c r="Q12" s="9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/>
      <x:c r="B13" s="2"/>
      <x:c r="C13" s="13"/>
      <x:c r="D13" s="13"/>
      <x:c r="E13" s="12"/>
      <x:c r="F13" s="2"/>
      <x:c r="G13" s="2"/>
      <x:c r="H13" s="2"/>
      <x:c r="I13" s="2"/>
      <x:c r="J13" s="2"/>
      <x:c r="K13" s="2"/>
      <x:c r="L13" s="2"/>
      <x:c r="M13" s="9"/>
      <x:c r="N13" s="9"/>
      <x:c r="O13" s="9"/>
      <x:c r="P13" s="9"/>
      <x:c r="Q13" s="9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/>
      <x:c r="B14" s="2"/>
      <x:c r="C14" s="13"/>
      <x:c r="D14" s="13"/>
      <x:c r="E14" s="12"/>
      <x:c r="F14" s="2"/>
      <x:c r="G14" s="2"/>
      <x:c r="H14" s="2"/>
      <x:c r="I14" s="2"/>
      <x:c r="J14" s="2"/>
      <x:c r="K14" s="2"/>
      <x:c r="L14" s="2"/>
      <x:c r="M14" s="9"/>
      <x:c r="N14" s="9"/>
      <x:c r="O14" s="9"/>
      <x:c r="P14" s="9"/>
      <x:c r="Q14" s="9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/>
      <x:c r="B15" s="2"/>
      <x:c r="C15" s="13"/>
      <x:c r="D15" s="13"/>
      <x:c r="E15" s="12"/>
      <x:c r="F15" s="2"/>
      <x:c r="G15" s="2"/>
      <x:c r="H15" s="2"/>
      <x:c r="I15" s="2"/>
      <x:c r="J15" s="2"/>
      <x:c r="K15" s="2"/>
      <x:c r="L15" s="2"/>
      <x:c r="M15" s="9"/>
      <x:c r="N15" s="9"/>
      <x:c r="O15" s="9"/>
      <x:c r="P15" s="9"/>
      <x:c r="Q15" s="9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/>
      <x:c r="B16" s="2"/>
      <x:c r="C16" s="13"/>
      <x:c r="D16" s="13"/>
      <x:c r="E16" s="12"/>
      <x:c r="F16" s="2"/>
      <x:c r="G16" s="2"/>
      <x:c r="H16" s="2"/>
      <x:c r="I16" s="2"/>
      <x:c r="J16" s="2"/>
      <x:c r="K16" s="2"/>
      <x:c r="L16" s="2"/>
      <x:c r="M16" s="9"/>
      <x:c r="N16" s="9"/>
      <x:c r="O16" s="9"/>
      <x:c r="P16" s="9"/>
      <x:c r="Q16" s="9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2"/>
      <x:c r="C17" s="13"/>
      <x:c r="D17" s="13"/>
      <x:c r="E17" s="12"/>
      <x:c r="F17" s="2"/>
      <x:c r="G17" s="2"/>
      <x:c r="H17" s="2"/>
      <x:c r="I17" s="2"/>
      <x:c r="J17" s="2"/>
      <x:c r="K17" s="2"/>
      <x:c r="L17" s="2"/>
      <x:c r="M17" s="9"/>
      <x:c r="N17" s="9"/>
      <x:c r="O17" s="9"/>
      <x:c r="P17" s="9"/>
      <x:c r="Q17" s="9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2"/>
      <x:c r="C18" s="13"/>
      <x:c r="D18" s="13"/>
      <x:c r="E18" s="12"/>
      <x:c r="F18" s="2"/>
      <x:c r="G18" s="2"/>
      <x:c r="H18" s="2"/>
      <x:c r="I18" s="2"/>
      <x:c r="J18" s="2"/>
      <x:c r="K18" s="2"/>
      <x:c r="L18" s="2"/>
      <x:c r="M18" s="9"/>
      <x:c r="N18" s="9"/>
      <x:c r="O18" s="9"/>
      <x:c r="P18" s="9"/>
      <x:c r="Q18" s="9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/>
      <x:c r="B19" s="2"/>
      <x:c r="C19" s="13"/>
      <x:c r="D19" s="13"/>
      <x:c r="E19" s="12"/>
      <x:c r="F19" s="2"/>
      <x:c r="G19" s="2"/>
      <x:c r="H19" s="2"/>
      <x:c r="I19" s="2"/>
      <x:c r="J19" s="2"/>
      <x:c r="K19" s="2"/>
      <x:c r="L19" s="2"/>
      <x:c r="M19" s="9"/>
      <x:c r="N19" s="9"/>
      <x:c r="O19" s="9"/>
      <x:c r="P19" s="9"/>
      <x:c r="Q19" s="9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2"/>
      <x:c r="C20" s="13"/>
      <x:c r="D20" s="13"/>
      <x:c r="E20" s="12"/>
      <x:c r="F20" s="2"/>
      <x:c r="G20" s="2"/>
      <x:c r="H20" s="2"/>
      <x:c r="I20" s="2"/>
      <x:c r="J20" s="2"/>
      <x:c r="K20" s="2"/>
      <x:c r="L20" s="2"/>
      <x:c r="M20" s="9"/>
      <x:c r="N20" s="9"/>
      <x:c r="O20" s="9"/>
      <x:c r="P20" s="9"/>
      <x:c r="Q20" s="9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13"/>
      <x:c r="D21" s="13"/>
      <x:c r="E21" s="12"/>
      <x:c r="F21" s="2"/>
      <x:c r="G21" s="2"/>
      <x:c r="H21" s="2"/>
      <x:c r="I21" s="2"/>
      <x:c r="J21" s="2"/>
      <x:c r="K21" s="2"/>
      <x:c r="L21" s="2"/>
      <x:c r="M21" s="9"/>
      <x:c r="N21" s="9"/>
      <x:c r="O21" s="9"/>
      <x:c r="P21" s="9"/>
      <x:c r="Q21" s="9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13"/>
      <x:c r="D22" s="13"/>
      <x:c r="E22" s="12"/>
      <x:c r="F22" s="2"/>
      <x:c r="G22" s="2"/>
      <x:c r="H22" s="2"/>
      <x:c r="I22" s="2"/>
      <x:c r="J22" s="2"/>
      <x:c r="K22" s="2"/>
      <x:c r="L22" s="2"/>
      <x:c r="M22" s="9"/>
      <x:c r="N22" s="9"/>
      <x:c r="O22" s="9"/>
      <x:c r="P22" s="9"/>
      <x:c r="Q22" s="9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13"/>
      <x:c r="D23" s="13"/>
      <x:c r="E23" s="12"/>
      <x:c r="F23" s="2"/>
      <x:c r="G23" s="2"/>
      <x:c r="H23" s="2"/>
      <x:c r="I23" s="2"/>
      <x:c r="J23" s="2"/>
      <x:c r="K23" s="2"/>
      <x:c r="L23" s="2"/>
      <x:c r="M23" s="9"/>
      <x:c r="N23" s="9"/>
      <x:c r="O23" s="9"/>
      <x:c r="P23" s="9"/>
      <x:c r="Q23" s="9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13"/>
      <x:c r="D24" s="13"/>
      <x:c r="E24" s="12"/>
      <x:c r="F24" s="2"/>
      <x:c r="G24" s="2"/>
      <x:c r="H24" s="2"/>
      <x:c r="I24" s="2"/>
      <x:c r="J24" s="2"/>
      <x:c r="K24" s="2"/>
      <x:c r="L24" s="2"/>
      <x:c r="M24" s="9"/>
      <x:c r="N24" s="9"/>
      <x:c r="O24" s="9"/>
      <x:c r="P24" s="9"/>
      <x:c r="Q24" s="9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13"/>
      <x:c r="D25" s="13"/>
      <x:c r="E25" s="12"/>
      <x:c r="F25" s="2"/>
      <x:c r="G25" s="2"/>
      <x:c r="H25" s="2"/>
      <x:c r="I25" s="2"/>
      <x:c r="J25" s="2"/>
      <x:c r="K25" s="2"/>
      <x:c r="L25" s="2"/>
      <x:c r="M25" s="9"/>
      <x:c r="N25" s="9"/>
      <x:c r="O25" s="9"/>
      <x:c r="P25" s="9"/>
      <x:c r="Q25" s="9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13"/>
      <x:c r="D26" s="13"/>
      <x:c r="E26" s="12"/>
      <x:c r="F26" s="2"/>
      <x:c r="G26" s="2"/>
      <x:c r="H26" s="2"/>
      <x:c r="I26" s="2"/>
      <x:c r="J26" s="2"/>
      <x:c r="K26" s="2"/>
      <x:c r="L26" s="2"/>
      <x:c r="M26" s="9"/>
      <x:c r="N26" s="9"/>
      <x:c r="O26" s="9"/>
      <x:c r="P26" s="9"/>
      <x:c r="Q26" s="9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13"/>
      <x:c r="D27" s="13"/>
      <x:c r="E27" s="12"/>
      <x:c r="F27" s="2"/>
      <x:c r="G27" s="2"/>
      <x:c r="H27" s="2"/>
      <x:c r="I27" s="2"/>
      <x:c r="J27" s="2"/>
      <x:c r="K27" s="2"/>
      <x:c r="L27" s="2"/>
      <x:c r="M27" s="9"/>
      <x:c r="N27" s="9"/>
      <x:c r="O27" s="9"/>
      <x:c r="P27" s="9"/>
      <x:c r="Q27" s="9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13"/>
      <x:c r="D28" s="13"/>
      <x:c r="E28" s="12"/>
      <x:c r="F28" s="2"/>
      <x:c r="G28" s="2"/>
      <x:c r="H28" s="2"/>
      <x:c r="I28" s="2"/>
      <x:c r="J28" s="2"/>
      <x:c r="K28" s="2"/>
      <x:c r="L28" s="2"/>
      <x:c r="M28" s="9"/>
      <x:c r="N28" s="9"/>
      <x:c r="O28" s="9"/>
      <x:c r="P28" s="9"/>
      <x:c r="Q28" s="9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13"/>
      <x:c r="D29" s="13"/>
      <x:c r="E29" s="12"/>
      <x:c r="F29" s="2"/>
      <x:c r="G29" s="2"/>
      <x:c r="H29" s="2"/>
      <x:c r="I29" s="2"/>
      <x:c r="J29" s="2"/>
      <x:c r="K29" s="2"/>
      <x:c r="L29" s="2"/>
      <x:c r="M29" s="9"/>
      <x:c r="N29" s="9"/>
      <x:c r="O29" s="9"/>
      <x:c r="P29" s="9"/>
      <x:c r="Q29" s="9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13"/>
      <x:c r="D30" s="13"/>
      <x:c r="E30" s="12"/>
      <x:c r="F30" s="2"/>
      <x:c r="G30" s="2"/>
      <x:c r="H30" s="2"/>
      <x:c r="I30" s="2"/>
      <x:c r="J30" s="2"/>
      <x:c r="K30" s="2"/>
      <x:c r="L30" s="2"/>
      <x:c r="M30" s="9"/>
      <x:c r="N30" s="9"/>
      <x:c r="O30" s="9"/>
      <x:c r="P30" s="9"/>
      <x:c r="Q30" s="9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13"/>
      <x:c r="D31" s="13"/>
      <x:c r="E31" s="12"/>
      <x:c r="F31" s="2"/>
      <x:c r="G31" s="2"/>
      <x:c r="H31" s="2"/>
      <x:c r="I31" s="2"/>
      <x:c r="J31" s="2"/>
      <x:c r="K31" s="2"/>
      <x:c r="L31" s="2"/>
      <x:c r="M31" s="9"/>
      <x:c r="N31" s="9"/>
      <x:c r="O31" s="9"/>
      <x:c r="P31" s="9"/>
      <x:c r="Q31" s="9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13"/>
      <x:c r="D32" s="13"/>
      <x:c r="E32" s="12"/>
      <x:c r="F32" s="2"/>
      <x:c r="G32" s="2"/>
      <x:c r="H32" s="2"/>
      <x:c r="I32" s="2"/>
      <x:c r="J32" s="2"/>
      <x:c r="K32" s="2"/>
      <x:c r="L32" s="2"/>
      <x:c r="M32" s="9"/>
      <x:c r="N32" s="9"/>
      <x:c r="O32" s="9"/>
      <x:c r="P32" s="9"/>
      <x:c r="Q32" s="9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13"/>
      <x:c r="D33" s="13"/>
      <x:c r="E33" s="12"/>
      <x:c r="F33" s="2"/>
      <x:c r="G33" s="2"/>
      <x:c r="H33" s="2"/>
      <x:c r="I33" s="2"/>
      <x:c r="J33" s="2"/>
      <x:c r="K33" s="2"/>
      <x:c r="L33" s="2"/>
      <x:c r="M33" s="9"/>
      <x:c r="N33" s="9"/>
      <x:c r="O33" s="9"/>
      <x:c r="P33" s="9"/>
      <x:c r="Q33" s="9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13"/>
      <x:c r="D34" s="13"/>
      <x:c r="E34" s="12"/>
      <x:c r="F34" s="2"/>
      <x:c r="G34" s="2"/>
      <x:c r="H34" s="2"/>
      <x:c r="I34" s="2"/>
      <x:c r="J34" s="2"/>
      <x:c r="K34" s="2"/>
      <x:c r="L34" s="2"/>
      <x:c r="M34" s="9"/>
      <x:c r="N34" s="9"/>
      <x:c r="O34" s="9"/>
      <x:c r="P34" s="9"/>
      <x:c r="Q34" s="9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13"/>
      <x:c r="D35" s="13"/>
      <x:c r="E35" s="12"/>
      <x:c r="F35" s="2"/>
      <x:c r="G35" s="2"/>
      <x:c r="H35" s="2"/>
      <x:c r="I35" s="2"/>
      <x:c r="J35" s="2"/>
      <x:c r="K35" s="2"/>
      <x:c r="L35" s="2"/>
      <x:c r="M35" s="9"/>
      <x:c r="N35" s="9"/>
      <x:c r="O35" s="9"/>
      <x:c r="P35" s="9"/>
      <x:c r="Q35" s="9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13"/>
      <x:c r="D36" s="13"/>
      <x:c r="E36" s="12"/>
      <x:c r="F36" s="2"/>
      <x:c r="G36" s="2"/>
      <x:c r="H36" s="2"/>
      <x:c r="I36" s="2"/>
      <x:c r="J36" s="2"/>
      <x:c r="K36" s="2"/>
      <x:c r="L36" s="2"/>
      <x:c r="M36" s="9"/>
      <x:c r="N36" s="9"/>
      <x:c r="O36" s="9"/>
      <x:c r="P36" s="9"/>
      <x:c r="Q36" s="9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13"/>
      <x:c r="D37" s="13"/>
      <x:c r="E37" s="12"/>
      <x:c r="F37" s="2"/>
      <x:c r="G37" s="2"/>
      <x:c r="H37" s="2"/>
      <x:c r="I37" s="2"/>
      <x:c r="J37" s="2"/>
      <x:c r="K37" s="2"/>
      <x:c r="L37" s="2"/>
      <x:c r="M37" s="9"/>
      <x:c r="N37" s="9"/>
      <x:c r="O37" s="9"/>
      <x:c r="P37" s="9"/>
      <x:c r="Q37" s="9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13"/>
      <x:c r="D38" s="13"/>
      <x:c r="E38" s="12"/>
      <x:c r="F38" s="2"/>
      <x:c r="G38" s="2"/>
      <x:c r="H38" s="2"/>
      <x:c r="I38" s="2"/>
      <x:c r="J38" s="2"/>
      <x:c r="K38" s="2"/>
      <x:c r="L38" s="2"/>
      <x:c r="M38" s="9"/>
      <x:c r="N38" s="9"/>
      <x:c r="O38" s="9"/>
      <x:c r="P38" s="9"/>
      <x:c r="Q38" s="9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13"/>
      <x:c r="D39" s="13"/>
      <x:c r="E39" s="12"/>
      <x:c r="F39" s="2"/>
      <x:c r="G39" s="2"/>
      <x:c r="H39" s="2"/>
      <x:c r="I39" s="2"/>
      <x:c r="J39" s="2"/>
      <x:c r="K39" s="2"/>
      <x:c r="L39" s="2"/>
      <x:c r="M39" s="9"/>
      <x:c r="N39" s="9"/>
      <x:c r="O39" s="9"/>
      <x:c r="P39" s="9"/>
      <x:c r="Q39" s="9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13"/>
      <x:c r="D40" s="13"/>
      <x:c r="E40" s="12"/>
      <x:c r="F40" s="2"/>
      <x:c r="G40" s="2"/>
      <x:c r="H40" s="2"/>
      <x:c r="I40" s="2"/>
      <x:c r="J40" s="2"/>
      <x:c r="K40" s="2"/>
      <x:c r="L40" s="2"/>
      <x:c r="M40" s="9"/>
      <x:c r="N40" s="9"/>
      <x:c r="O40" s="9"/>
      <x:c r="P40" s="9"/>
      <x:c r="Q40" s="9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13"/>
      <x:c r="D41" s="13"/>
      <x:c r="E41" s="12"/>
      <x:c r="F41" s="2"/>
      <x:c r="G41" s="2"/>
      <x:c r="H41" s="2"/>
      <x:c r="I41" s="2"/>
      <x:c r="J41" s="2"/>
      <x:c r="K41" s="2"/>
      <x:c r="L41" s="2"/>
      <x:c r="M41" s="9"/>
      <x:c r="N41" s="9"/>
      <x:c r="O41" s="9"/>
      <x:c r="P41" s="9"/>
      <x:c r="Q41" s="9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13"/>
      <x:c r="D42" s="13"/>
      <x:c r="E42" s="12"/>
      <x:c r="F42" s="2"/>
      <x:c r="G42" s="2"/>
      <x:c r="H42" s="2"/>
      <x:c r="I42" s="2"/>
      <x:c r="J42" s="2"/>
      <x:c r="K42" s="2"/>
      <x:c r="L42" s="2"/>
      <x:c r="M42" s="9"/>
      <x:c r="N42" s="9"/>
      <x:c r="O42" s="9"/>
      <x:c r="P42" s="9"/>
      <x:c r="Q42" s="9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13"/>
      <x:c r="D43" s="13"/>
      <x:c r="E43" s="12"/>
      <x:c r="F43" s="2"/>
      <x:c r="G43" s="2"/>
      <x:c r="H43" s="2"/>
      <x:c r="I43" s="2"/>
      <x:c r="J43" s="2"/>
      <x:c r="K43" s="2"/>
      <x:c r="L43" s="2"/>
      <x:c r="M43" s="9"/>
      <x:c r="N43" s="9"/>
      <x:c r="O43" s="9"/>
      <x:c r="P43" s="9"/>
      <x:c r="Q43" s="9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13"/>
      <x:c r="D44" s="13"/>
      <x:c r="E44" s="12"/>
      <x:c r="F44" s="2"/>
      <x:c r="G44" s="2"/>
      <x:c r="H44" s="2"/>
      <x:c r="I44" s="2"/>
      <x:c r="J44" s="2"/>
      <x:c r="K44" s="2"/>
      <x:c r="L44" s="2"/>
      <x:c r="M44" s="9"/>
      <x:c r="N44" s="9"/>
      <x:c r="O44" s="9"/>
      <x:c r="P44" s="9"/>
      <x:c r="Q44" s="9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13"/>
      <x:c r="D45" s="13"/>
      <x:c r="E45" s="12"/>
      <x:c r="F45" s="2"/>
      <x:c r="G45" s="2"/>
      <x:c r="H45" s="2"/>
      <x:c r="I45" s="2"/>
      <x:c r="J45" s="2"/>
      <x:c r="K45" s="2"/>
      <x:c r="L45" s="2"/>
      <x:c r="M45" s="9"/>
      <x:c r="N45" s="9"/>
      <x:c r="O45" s="9"/>
      <x:c r="P45" s="9"/>
      <x:c r="Q45" s="9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13"/>
      <x:c r="D46" s="13"/>
      <x:c r="E46" s="12"/>
      <x:c r="F46" s="2"/>
      <x:c r="G46" s="2"/>
      <x:c r="H46" s="2"/>
      <x:c r="I46" s="2"/>
      <x:c r="J46" s="2"/>
      <x:c r="K46" s="2"/>
      <x:c r="L46" s="2"/>
      <x:c r="M46" s="9"/>
      <x:c r="N46" s="9"/>
      <x:c r="O46" s="9"/>
      <x:c r="P46" s="9"/>
      <x:c r="Q46" s="9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13"/>
      <x:c r="D47" s="13"/>
      <x:c r="E47" s="12"/>
      <x:c r="F47" s="2"/>
      <x:c r="G47" s="2"/>
      <x:c r="H47" s="2"/>
      <x:c r="I47" s="2"/>
      <x:c r="J47" s="2"/>
      <x:c r="K47" s="2"/>
      <x:c r="L47" s="2"/>
      <x:c r="M47" s="9"/>
      <x:c r="N47" s="9"/>
      <x:c r="O47" s="9"/>
      <x:c r="P47" s="9"/>
      <x:c r="Q47" s="9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13"/>
      <x:c r="D48" s="13"/>
      <x:c r="E48" s="12"/>
      <x:c r="F48" s="2"/>
      <x:c r="G48" s="2"/>
      <x:c r="H48" s="2"/>
      <x:c r="I48" s="2"/>
      <x:c r="J48" s="2"/>
      <x:c r="K48" s="2"/>
      <x:c r="L48" s="2"/>
      <x:c r="M48" s="9"/>
      <x:c r="N48" s="9"/>
      <x:c r="O48" s="9"/>
      <x:c r="P48" s="9"/>
      <x:c r="Q48" s="9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13"/>
      <x:c r="D49" s="13"/>
      <x:c r="E49" s="12"/>
      <x:c r="F49" s="2"/>
      <x:c r="G49" s="2"/>
      <x:c r="H49" s="2"/>
      <x:c r="I49" s="2"/>
      <x:c r="J49" s="2"/>
      <x:c r="K49" s="2"/>
      <x:c r="L49" s="2"/>
      <x:c r="M49" s="9"/>
      <x:c r="N49" s="9"/>
      <x:c r="O49" s="9"/>
      <x:c r="P49" s="9"/>
      <x:c r="Q49" s="9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13"/>
      <x:c r="D50" s="13"/>
      <x:c r="E50" s="12"/>
      <x:c r="F50" s="2"/>
      <x:c r="G50" s="2"/>
      <x:c r="H50" s="2"/>
      <x:c r="I50" s="2"/>
      <x:c r="J50" s="2"/>
      <x:c r="K50" s="2"/>
      <x:c r="L50" s="2"/>
      <x:c r="M50" s="9"/>
      <x:c r="N50" s="9"/>
      <x:c r="O50" s="9"/>
      <x:c r="P50" s="9"/>
      <x:c r="Q50" s="9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13"/>
      <x:c r="D51" s="13"/>
      <x:c r="E51" s="12"/>
      <x:c r="F51" s="2"/>
      <x:c r="G51" s="2"/>
      <x:c r="H51" s="2"/>
      <x:c r="I51" s="2"/>
      <x:c r="J51" s="2"/>
      <x:c r="K51" s="2"/>
      <x:c r="L51" s="2"/>
      <x:c r="M51" s="9"/>
      <x:c r="N51" s="9"/>
      <x:c r="O51" s="9"/>
      <x:c r="P51" s="9"/>
      <x:c r="Q51" s="9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13"/>
      <x:c r="D52" s="13"/>
      <x:c r="E52" s="12"/>
      <x:c r="F52" s="2"/>
      <x:c r="G52" s="2"/>
      <x:c r="H52" s="2"/>
      <x:c r="I52" s="2"/>
      <x:c r="J52" s="2"/>
      <x:c r="K52" s="2"/>
      <x:c r="L52" s="2"/>
      <x:c r="M52" s="9"/>
      <x:c r="N52" s="9"/>
      <x:c r="O52" s="9"/>
      <x:c r="P52" s="9"/>
      <x:c r="Q52" s="9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13"/>
      <x:c r="D53" s="13"/>
      <x:c r="E53" s="12"/>
      <x:c r="F53" s="2"/>
      <x:c r="G53" s="2"/>
      <x:c r="H53" s="2"/>
      <x:c r="I53" s="2"/>
      <x:c r="J53" s="2"/>
      <x:c r="K53" s="2"/>
      <x:c r="L53" s="2"/>
      <x:c r="M53" s="9"/>
      <x:c r="N53" s="9"/>
      <x:c r="O53" s="9"/>
      <x:c r="P53" s="9"/>
      <x:c r="Q53" s="9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13"/>
      <x:c r="D54" s="13"/>
      <x:c r="E54" s="12"/>
      <x:c r="F54" s="2"/>
      <x:c r="G54" s="2"/>
      <x:c r="H54" s="2"/>
      <x:c r="I54" s="2"/>
      <x:c r="J54" s="2"/>
      <x:c r="K54" s="2"/>
      <x:c r="L54" s="2"/>
      <x:c r="M54" s="9"/>
      <x:c r="N54" s="9"/>
      <x:c r="O54" s="9"/>
      <x:c r="P54" s="9"/>
      <x:c r="Q54" s="9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13"/>
      <x:c r="D55" s="13"/>
      <x:c r="E55" s="12"/>
      <x:c r="F55" s="2"/>
      <x:c r="G55" s="2"/>
      <x:c r="H55" s="2"/>
      <x:c r="I55" s="2"/>
      <x:c r="J55" s="2"/>
      <x:c r="K55" s="2"/>
      <x:c r="L55" s="2"/>
      <x:c r="M55" s="9"/>
      <x:c r="N55" s="9"/>
      <x:c r="O55" s="9"/>
      <x:c r="P55" s="9"/>
      <x:c r="Q55" s="9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13"/>
      <x:c r="D56" s="13"/>
      <x:c r="E56" s="12"/>
      <x:c r="F56" s="2"/>
      <x:c r="G56" s="2"/>
      <x:c r="H56" s="2"/>
      <x:c r="I56" s="2"/>
      <x:c r="J56" s="2"/>
      <x:c r="K56" s="2"/>
      <x:c r="L56" s="2"/>
      <x:c r="M56" s="9"/>
      <x:c r="N56" s="9"/>
      <x:c r="O56" s="9"/>
      <x:c r="P56" s="9"/>
      <x:c r="Q56" s="9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13"/>
      <x:c r="D57" s="13"/>
      <x:c r="E57" s="12"/>
      <x:c r="F57" s="2"/>
      <x:c r="G57" s="2"/>
      <x:c r="H57" s="2"/>
      <x:c r="I57" s="2"/>
      <x:c r="J57" s="2"/>
      <x:c r="K57" s="2"/>
      <x:c r="L57" s="2"/>
      <x:c r="M57" s="9"/>
      <x:c r="N57" s="9"/>
      <x:c r="O57" s="9"/>
      <x:c r="P57" s="9"/>
      <x:c r="Q57" s="9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13"/>
      <x:c r="D58" s="13"/>
      <x:c r="E58" s="12"/>
      <x:c r="F58" s="2"/>
      <x:c r="G58" s="2"/>
      <x:c r="H58" s="2"/>
      <x:c r="I58" s="2"/>
      <x:c r="J58" s="2"/>
      <x:c r="K58" s="2"/>
      <x:c r="L58" s="2"/>
      <x:c r="M58" s="9"/>
      <x:c r="N58" s="9"/>
      <x:c r="O58" s="9"/>
      <x:c r="P58" s="9"/>
      <x:c r="Q58" s="9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13"/>
      <x:c r="D59" s="13"/>
      <x:c r="E59" s="12"/>
      <x:c r="F59" s="2"/>
      <x:c r="G59" s="2"/>
      <x:c r="H59" s="2"/>
      <x:c r="I59" s="2"/>
      <x:c r="J59" s="2"/>
      <x:c r="K59" s="2"/>
      <x:c r="L59" s="2"/>
      <x:c r="M59" s="9"/>
      <x:c r="N59" s="9"/>
      <x:c r="O59" s="9"/>
      <x:c r="P59" s="9"/>
      <x:c r="Q59" s="9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13"/>
      <x:c r="D60" s="13"/>
      <x:c r="E60" s="12"/>
      <x:c r="F60" s="2"/>
      <x:c r="G60" s="2"/>
      <x:c r="H60" s="2"/>
      <x:c r="I60" s="2"/>
      <x:c r="J60" s="2"/>
      <x:c r="K60" s="2"/>
      <x:c r="L60" s="2"/>
      <x:c r="M60" s="9"/>
      <x:c r="N60" s="9"/>
      <x:c r="O60" s="9"/>
      <x:c r="P60" s="9"/>
      <x:c r="Q60" s="9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13"/>
      <x:c r="D61" s="13"/>
      <x:c r="E61" s="12"/>
      <x:c r="F61" s="2"/>
      <x:c r="G61" s="2"/>
      <x:c r="H61" s="2"/>
      <x:c r="I61" s="2"/>
      <x:c r="J61" s="2"/>
      <x:c r="K61" s="2"/>
      <x:c r="L61" s="2"/>
      <x:c r="M61" s="9"/>
      <x:c r="N61" s="9"/>
      <x:c r="O61" s="9"/>
      <x:c r="P61" s="9"/>
      <x:c r="Q61" s="9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13"/>
      <x:c r="D62" s="13"/>
      <x:c r="E62" s="12"/>
      <x:c r="F62" s="2"/>
      <x:c r="G62" s="2"/>
      <x:c r="H62" s="2"/>
      <x:c r="I62" s="2"/>
      <x:c r="J62" s="2"/>
      <x:c r="K62" s="2"/>
      <x:c r="L62" s="2"/>
      <x:c r="M62" s="9"/>
      <x:c r="N62" s="9"/>
      <x:c r="O62" s="9"/>
      <x:c r="P62" s="9"/>
      <x:c r="Q62" s="9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13"/>
      <x:c r="D63" s="13"/>
      <x:c r="E63" s="12"/>
      <x:c r="F63" s="2"/>
      <x:c r="G63" s="2"/>
      <x:c r="H63" s="2"/>
      <x:c r="I63" s="2"/>
      <x:c r="J63" s="2"/>
      <x:c r="K63" s="2"/>
      <x:c r="L63" s="2"/>
      <x:c r="M63" s="9"/>
      <x:c r="N63" s="9"/>
      <x:c r="O63" s="9"/>
      <x:c r="P63" s="9"/>
      <x:c r="Q63" s="9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13"/>
      <x:c r="D64" s="13"/>
      <x:c r="E64" s="12"/>
      <x:c r="F64" s="2"/>
      <x:c r="G64" s="2"/>
      <x:c r="H64" s="2"/>
      <x:c r="I64" s="2"/>
      <x:c r="J64" s="2"/>
      <x:c r="K64" s="2"/>
      <x:c r="L64" s="2"/>
      <x:c r="M64" s="9"/>
      <x:c r="N64" s="9"/>
      <x:c r="O64" s="9"/>
      <x:c r="P64" s="9"/>
      <x:c r="Q64" s="9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13"/>
      <x:c r="D65" s="13"/>
      <x:c r="E65" s="12"/>
      <x:c r="F65" s="2"/>
      <x:c r="G65" s="2"/>
      <x:c r="H65" s="2"/>
      <x:c r="I65" s="2"/>
      <x:c r="J65" s="2"/>
      <x:c r="K65" s="2"/>
      <x:c r="L65" s="2"/>
      <x:c r="M65" s="9"/>
      <x:c r="N65" s="9"/>
      <x:c r="O65" s="9"/>
      <x:c r="P65" s="9"/>
      <x:c r="Q65" s="9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13"/>
      <x:c r="D66" s="13"/>
      <x:c r="E66" s="12"/>
      <x:c r="F66" s="2"/>
      <x:c r="G66" s="2"/>
      <x:c r="H66" s="2"/>
      <x:c r="I66" s="2"/>
      <x:c r="J66" s="2"/>
      <x:c r="K66" s="2"/>
      <x:c r="L66" s="2"/>
      <x:c r="M66" s="9"/>
      <x:c r="N66" s="9"/>
      <x:c r="O66" s="9"/>
      <x:c r="P66" s="9"/>
      <x:c r="Q66" s="9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13"/>
      <x:c r="D67" s="13"/>
      <x:c r="E67" s="12"/>
      <x:c r="F67" s="2"/>
      <x:c r="G67" s="2"/>
      <x:c r="H67" s="2"/>
      <x:c r="I67" s="2"/>
      <x:c r="J67" s="2"/>
      <x:c r="K67" s="2"/>
      <x:c r="L67" s="2"/>
      <x:c r="M67" s="9"/>
      <x:c r="N67" s="9"/>
      <x:c r="O67" s="9"/>
      <x:c r="P67" s="9"/>
      <x:c r="Q67" s="9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13"/>
      <x:c r="D68" s="13"/>
      <x:c r="E68" s="12"/>
      <x:c r="F68" s="2"/>
      <x:c r="G68" s="2"/>
      <x:c r="H68" s="2"/>
      <x:c r="I68" s="2"/>
      <x:c r="J68" s="2"/>
      <x:c r="K68" s="2"/>
      <x:c r="L68" s="2"/>
      <x:c r="M68" s="9"/>
      <x:c r="N68" s="9"/>
      <x:c r="O68" s="9"/>
      <x:c r="P68" s="9"/>
      <x:c r="Q68" s="9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13"/>
      <x:c r="D69" s="13"/>
      <x:c r="E69" s="12"/>
      <x:c r="F69" s="2"/>
      <x:c r="G69" s="2"/>
      <x:c r="H69" s="2"/>
      <x:c r="I69" s="2"/>
      <x:c r="J69" s="2"/>
      <x:c r="K69" s="2"/>
      <x:c r="L69" s="2"/>
      <x:c r="M69" s="9"/>
      <x:c r="N69" s="9"/>
      <x:c r="O69" s="9"/>
      <x:c r="P69" s="9"/>
      <x:c r="Q69" s="9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13"/>
      <x:c r="D70" s="13"/>
      <x:c r="E70" s="12"/>
      <x:c r="F70" s="2"/>
      <x:c r="G70" s="2"/>
      <x:c r="H70" s="2"/>
      <x:c r="I70" s="2"/>
      <x:c r="J70" s="2"/>
      <x:c r="K70" s="2"/>
      <x:c r="L70" s="2"/>
      <x:c r="M70" s="9"/>
      <x:c r="N70" s="9"/>
      <x:c r="O70" s="9"/>
      <x:c r="P70" s="9"/>
      <x:c r="Q70" s="9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13"/>
      <x:c r="D71" s="13"/>
      <x:c r="E71" s="12"/>
      <x:c r="F71" s="2"/>
      <x:c r="G71" s="2"/>
      <x:c r="H71" s="2"/>
      <x:c r="I71" s="2"/>
      <x:c r="J71" s="2"/>
      <x:c r="K71" s="2"/>
      <x:c r="L71" s="2"/>
      <x:c r="M71" s="9"/>
      <x:c r="N71" s="9"/>
      <x:c r="O71" s="9"/>
      <x:c r="P71" s="9"/>
      <x:c r="Q71" s="9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13"/>
      <x:c r="D72" s="13"/>
      <x:c r="E72" s="12"/>
      <x:c r="F72" s="2"/>
      <x:c r="G72" s="2"/>
      <x:c r="H72" s="2"/>
      <x:c r="I72" s="2"/>
      <x:c r="J72" s="2"/>
      <x:c r="K72" s="2"/>
      <x:c r="L72" s="2"/>
      <x:c r="M72" s="9"/>
      <x:c r="N72" s="9"/>
      <x:c r="O72" s="9"/>
      <x:c r="P72" s="9"/>
      <x:c r="Q72" s="9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13"/>
      <x:c r="D73" s="13"/>
      <x:c r="E73" s="12"/>
      <x:c r="F73" s="2"/>
      <x:c r="G73" s="2"/>
      <x:c r="H73" s="2"/>
      <x:c r="I73" s="2"/>
      <x:c r="J73" s="2"/>
      <x:c r="K73" s="2"/>
      <x:c r="L73" s="2"/>
      <x:c r="M73" s="9"/>
      <x:c r="N73" s="9"/>
      <x:c r="O73" s="9"/>
      <x:c r="P73" s="9"/>
      <x:c r="Q73" s="9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13"/>
      <x:c r="D74" s="13"/>
      <x:c r="E74" s="12"/>
      <x:c r="F74" s="2"/>
      <x:c r="G74" s="2"/>
      <x:c r="H74" s="2"/>
      <x:c r="I74" s="2"/>
      <x:c r="J74" s="2"/>
      <x:c r="K74" s="2"/>
      <x:c r="L74" s="2"/>
      <x:c r="M74" s="9"/>
      <x:c r="N74" s="9"/>
      <x:c r="O74" s="9"/>
      <x:c r="P74" s="9"/>
      <x:c r="Q74" s="9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13"/>
      <x:c r="D75" s="13"/>
      <x:c r="E75" s="12"/>
      <x:c r="F75" s="2"/>
      <x:c r="G75" s="2"/>
      <x:c r="H75" s="2"/>
      <x:c r="I75" s="2"/>
      <x:c r="J75" s="2"/>
      <x:c r="K75" s="2"/>
      <x:c r="L75" s="2"/>
      <x:c r="M75" s="9"/>
      <x:c r="N75" s="9"/>
      <x:c r="O75" s="9"/>
      <x:c r="P75" s="9"/>
      <x:c r="Q75" s="9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13"/>
      <x:c r="D76" s="13"/>
      <x:c r="E76" s="12"/>
      <x:c r="F76" s="2"/>
      <x:c r="G76" s="2"/>
      <x:c r="H76" s="2"/>
      <x:c r="I76" s="2"/>
      <x:c r="J76" s="2"/>
      <x:c r="K76" s="2"/>
      <x:c r="L76" s="2"/>
      <x:c r="M76" s="9"/>
      <x:c r="N76" s="9"/>
      <x:c r="O76" s="9"/>
      <x:c r="P76" s="9"/>
      <x:c r="Q76" s="9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13"/>
      <x:c r="D77" s="13"/>
      <x:c r="E77" s="12"/>
      <x:c r="F77" s="2"/>
      <x:c r="G77" s="2"/>
      <x:c r="H77" s="2"/>
      <x:c r="I77" s="2"/>
      <x:c r="J77" s="2"/>
      <x:c r="K77" s="2"/>
      <x:c r="L77" s="2"/>
      <x:c r="M77" s="9"/>
      <x:c r="N77" s="9"/>
      <x:c r="O77" s="9"/>
      <x:c r="P77" s="9"/>
      <x:c r="Q77" s="9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13"/>
      <x:c r="D78" s="13"/>
      <x:c r="E78" s="12"/>
      <x:c r="F78" s="2"/>
      <x:c r="G78" s="2"/>
      <x:c r="H78" s="2"/>
      <x:c r="I78" s="2"/>
      <x:c r="J78" s="2"/>
      <x:c r="K78" s="2"/>
      <x:c r="L78" s="2"/>
      <x:c r="M78" s="9"/>
      <x:c r="N78" s="9"/>
      <x:c r="O78" s="9"/>
      <x:c r="P78" s="9"/>
      <x:c r="Q78" s="9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13"/>
      <x:c r="D79" s="13"/>
      <x:c r="E79" s="12"/>
      <x:c r="F79" s="2"/>
      <x:c r="G79" s="2"/>
      <x:c r="H79" s="2"/>
      <x:c r="I79" s="2"/>
      <x:c r="J79" s="2"/>
      <x:c r="K79" s="2"/>
      <x:c r="L79" s="2"/>
      <x:c r="M79" s="9"/>
      <x:c r="N79" s="9"/>
      <x:c r="O79" s="9"/>
      <x:c r="P79" s="9"/>
      <x:c r="Q79" s="9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13"/>
      <x:c r="D80" s="13"/>
      <x:c r="E80" s="12"/>
      <x:c r="F80" s="2"/>
      <x:c r="G80" s="2"/>
      <x:c r="H80" s="2"/>
      <x:c r="I80" s="2"/>
      <x:c r="J80" s="2"/>
      <x:c r="K80" s="2"/>
      <x:c r="L80" s="2"/>
      <x:c r="M80" s="9"/>
      <x:c r="N80" s="9"/>
      <x:c r="O80" s="9"/>
      <x:c r="P80" s="9"/>
      <x:c r="Q80" s="9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13"/>
      <x:c r="D81" s="13"/>
      <x:c r="E81" s="12"/>
      <x:c r="F81" s="2"/>
      <x:c r="G81" s="2"/>
      <x:c r="H81" s="2"/>
      <x:c r="I81" s="2"/>
      <x:c r="J81" s="2"/>
      <x:c r="K81" s="2"/>
      <x:c r="L81" s="2"/>
      <x:c r="M81" s="9"/>
      <x:c r="N81" s="9"/>
      <x:c r="O81" s="9"/>
      <x:c r="P81" s="9"/>
      <x:c r="Q81" s="9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13"/>
      <x:c r="D82" s="13"/>
      <x:c r="E82" s="12"/>
      <x:c r="F82" s="2"/>
      <x:c r="G82" s="2"/>
      <x:c r="H82" s="2"/>
      <x:c r="I82" s="2"/>
      <x:c r="J82" s="2"/>
      <x:c r="K82" s="2"/>
      <x:c r="L82" s="2"/>
      <x:c r="M82" s="9"/>
      <x:c r="N82" s="9"/>
      <x:c r="O82" s="9"/>
      <x:c r="P82" s="9"/>
      <x:c r="Q82" s="9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13"/>
      <x:c r="D83" s="13"/>
      <x:c r="E83" s="12"/>
      <x:c r="F83" s="2"/>
      <x:c r="G83" s="2"/>
      <x:c r="H83" s="2"/>
      <x:c r="I83" s="2"/>
      <x:c r="J83" s="2"/>
      <x:c r="K83" s="2"/>
      <x:c r="L83" s="2"/>
      <x:c r="M83" s="9"/>
      <x:c r="N83" s="9"/>
      <x:c r="O83" s="9"/>
      <x:c r="P83" s="9"/>
      <x:c r="Q83" s="9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13"/>
      <x:c r="D84" s="13"/>
      <x:c r="E84" s="12"/>
      <x:c r="F84" s="2"/>
      <x:c r="G84" s="2"/>
      <x:c r="H84" s="2"/>
      <x:c r="I84" s="2"/>
      <x:c r="J84" s="2"/>
      <x:c r="K84" s="2"/>
      <x:c r="L84" s="2"/>
      <x:c r="M84" s="9"/>
      <x:c r="N84" s="9"/>
      <x:c r="O84" s="9"/>
      <x:c r="P84" s="9"/>
      <x:c r="Q84" s="9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13"/>
      <x:c r="D85" s="13"/>
      <x:c r="E85" s="12"/>
      <x:c r="F85" s="2"/>
      <x:c r="G85" s="2"/>
      <x:c r="H85" s="2"/>
      <x:c r="I85" s="2"/>
      <x:c r="J85" s="2"/>
      <x:c r="K85" s="2"/>
      <x:c r="L85" s="2"/>
      <x:c r="M85" s="9"/>
      <x:c r="N85" s="9"/>
      <x:c r="O85" s="9"/>
      <x:c r="P85" s="9"/>
      <x:c r="Q85" s="9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13"/>
      <x:c r="D86" s="13"/>
      <x:c r="E86" s="12"/>
      <x:c r="F86" s="2"/>
      <x:c r="G86" s="2"/>
      <x:c r="H86" s="2"/>
      <x:c r="I86" s="2"/>
      <x:c r="J86" s="2"/>
      <x:c r="K86" s="2"/>
      <x:c r="L86" s="2"/>
      <x:c r="M86" s="9"/>
      <x:c r="N86" s="9"/>
      <x:c r="O86" s="9"/>
      <x:c r="P86" s="9"/>
      <x:c r="Q86" s="9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13"/>
      <x:c r="D87" s="13"/>
      <x:c r="E87" s="12"/>
      <x:c r="F87" s="2"/>
      <x:c r="G87" s="2"/>
      <x:c r="H87" s="2"/>
      <x:c r="I87" s="2"/>
      <x:c r="J87" s="2"/>
      <x:c r="K87" s="2"/>
      <x:c r="L87" s="2"/>
      <x:c r="M87" s="9"/>
      <x:c r="N87" s="9"/>
      <x:c r="O87" s="9"/>
      <x:c r="P87" s="9"/>
      <x:c r="Q87" s="9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13"/>
      <x:c r="D88" s="13"/>
      <x:c r="E88" s="12"/>
      <x:c r="F88" s="2"/>
      <x:c r="G88" s="2"/>
      <x:c r="H88" s="2"/>
      <x:c r="I88" s="2"/>
      <x:c r="J88" s="2"/>
      <x:c r="K88" s="2"/>
      <x:c r="L88" s="2"/>
      <x:c r="M88" s="9"/>
      <x:c r="N88" s="9"/>
      <x:c r="O88" s="9"/>
      <x:c r="P88" s="9"/>
      <x:c r="Q88" s="9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13"/>
      <x:c r="D89" s="13"/>
      <x:c r="E89" s="12"/>
      <x:c r="F89" s="2"/>
      <x:c r="G89" s="2"/>
      <x:c r="H89" s="2"/>
      <x:c r="I89" s="2"/>
      <x:c r="J89" s="2"/>
      <x:c r="K89" s="2"/>
      <x:c r="L89" s="2"/>
      <x:c r="M89" s="9"/>
      <x:c r="N89" s="9"/>
      <x:c r="O89" s="9"/>
      <x:c r="P89" s="9"/>
      <x:c r="Q89" s="9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13"/>
      <x:c r="D90" s="13"/>
      <x:c r="E90" s="12"/>
      <x:c r="F90" s="2"/>
      <x:c r="G90" s="2"/>
      <x:c r="H90" s="2"/>
      <x:c r="I90" s="2"/>
      <x:c r="J90" s="2"/>
      <x:c r="K90" s="2"/>
      <x:c r="L90" s="2"/>
      <x:c r="M90" s="9"/>
      <x:c r="N90" s="9"/>
      <x:c r="O90" s="9"/>
      <x:c r="P90" s="9"/>
      <x:c r="Q90" s="9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N2:P2"/>
  </x:mergeCells>
  <x:dataValidations count="1">
    <x:dataValidation type="list" sqref="P6:P90">
      <x:formula1>"business,private,internal,owner_transfer,unknown"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0a830528e94fec"/>
  </x:tableParts>
</x:worksheet>
</file>

<file path=xl/worksheets/sheet3.xml><?xml version="1.0" encoding="utf-8"?>
<x:worksheet xmlns:x="http://schemas.openxmlformats.org/spreadsheetml/2006/main">
  <x:sheetPr>
    <x:tabColor rgb="FFBAA0F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Zakelijk overzicht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Bedragen excl. btw. Historische cijfers blijven niet beschikbaar totdat facturen en kosten gecontroleerd zijn.</x:v>
      </x:c>
      <x:c r="B3" s="5" t="str">
        <x:v>Bedragen excl. btw. Historische cijfers blijven niet beschikbaar totdat facturen en kosten gecontroleerd zijn.</x:v>
      </x:c>
      <x:c r="C3" s="5" t="str">
        <x:v>Bedragen excl. btw. Historische cijfers blijven niet beschikbaar totdat facturen en kosten gecontroleerd zijn.</x:v>
      </x:c>
      <x:c r="D3" s="5" t="str">
        <x:v>Bedragen excl. btw. Historische cijfers blijven niet beschikbaar totdat facturen en kosten gecontroleerd zijn.</x:v>
      </x:c>
      <x:c r="E3" s="5" t="str">
        <x:v>Bedragen excl. btw. Historische cijfers blijven niet beschikbaar totdat facturen en kosten gecontroleerd zijn.</x:v>
      </x:c>
      <x:c r="F3" s="5" t="str">
        <x:v>Bedragen excl. btw. Historische cijfers blijven niet beschikbaar totdat facturen en kosten gecontroleerd zijn.</x:v>
      </x:c>
      <x:c r="G3" s="5" t="str">
        <x:v>Bedragen excl. btw. Historische cijfers blijven niet beschikbaar totdat facturen en kosten gecontroleerd zijn.</x:v>
      </x:c>
      <x:c r="H3" s="5" t="str">
        <x:v>Bedragen excl. btw. Historische cijfers blijven niet beschikbaar totdat facturen en kosten gecontroleerd zijn.</x:v>
      </x:c>
      <x:c r="I3" s="5" t="str">
        <x:v>Bedragen excl. btw. Historische cijfers blijven niet beschikbaar totdat facturen en kosten gecontroleerd zijn.</x:v>
      </x:c>
      <x:c r="J3" s="5" t="str">
        <x:v>Bedragen excl. btw. Historische cijfers blijven niet beschikbaar totdat facturen en kosten gecontroleerd zijn.</x:v>
      </x:c>
      <x:c r="K3" s="5" t="str">
        <x:v>Bedragen excl. btw. Historische cijfers blijven niet beschikbaar totdat facturen en kosten gecontroleerd zijn.</x:v>
      </x:c>
      <x:c r="L3" s="5" t="str">
        <x:v>Bedragen excl. btw. Historische cijfers blijven niet beschikbaar totdat facturen en kosten gecontroleerd zijn.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Omzet deze maand</x:v>
      </x:c>
      <x:c r="B6" s="2"/>
      <x:c r="C6" s="2"/>
      <x:c r="D6" s="2"/>
      <x:c r="E6" s="16" t="str">
        <x:f>INDEX('Monthly Reports'!B6:B29,MATCH(EDATE(DATE(YEAR('Settings &amp; Assumptions'!$B$6),MONTH('Settings &amp; Assumptions'!$B$6),1),0),'Monthly Reports'!A6:A29,0))</x:f>
        <x:v>n.b.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Omzet vorige maand</x:v>
      </x:c>
      <x:c r="B7" s="2"/>
      <x:c r="C7" s="2"/>
      <x:c r="D7" s="2"/>
      <x:c r="E7" s="16" t="str">
        <x:f>INDEX('Monthly Reports'!B6:B29,MATCH(EDATE(DATE(YEAR('Settings &amp; Assumptions'!$B$6),MONTH('Settings &amp; Assumptions'!$B$6),1),-1),'Monthly Reports'!A6:A29,0))</x:f>
        <x:v>n.b.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Omzet dit jaar</x:v>
      </x:c>
      <x:c r="B8" s="2"/>
      <x:c r="C8" s="2"/>
      <x:c r="D8" s="2"/>
      <x:c r="E8" s="16" t="str">
        <x:f>IF('Settings &amp; Assumptions'!$G$14&lt;&gt;1,"n.b.",SUMIFS(Invoices[amount_excl],Invoices[date],"&gt;="&amp;DATE(YEAR('Settings &amp; Assumptions'!$B$6),1,1),Invoices[date],"&lt;="&amp;'Settings &amp; Assumptions'!$B$6,Invoices[status],"&lt;&gt;concept",Invoices[status],"&lt;&gt;geannuleerd"))</x:f>
        <x:v>n.b.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Kosten deze maand</x:v>
      </x:c>
      <x:c r="B9" s="2"/>
      <x:c r="C9" s="2"/>
      <x:c r="D9" s="2"/>
      <x:c r="E9" s="16" t="str">
        <x:f>INDEX('Monthly Reports'!C6:C29,MATCH(EDATE(DATE(YEAR('Settings &amp; Assumptions'!$B$6),MONTH('Settings &amp; Assumptions'!$B$6),1),0),'Monthly Reports'!A6:A29,0))</x:f>
        <x:v>n.b.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Kosten vorige maand</x:v>
      </x:c>
      <x:c r="B10" s="2"/>
      <x:c r="C10" s="2"/>
      <x:c r="D10" s="2"/>
      <x:c r="E10" s="16" t="str">
        <x:f>INDEX('Monthly Reports'!C6:C29,MATCH(EDATE(DATE(YEAR('Settings &amp; Assumptions'!$B$6),MONTH('Settings &amp; Assumptions'!$B$6),1),-1),'Monthly Reports'!A6:A29,0))</x:f>
        <x:v>n.b.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Operationele winst deze maand</x:v>
      </x:c>
      <x:c r="B11" s="2"/>
      <x:c r="C11" s="2"/>
      <x:c r="D11" s="2"/>
      <x:c r="E11" s="16" t="str">
        <x:f>INDEX('Monthly Reports'!D6:D29,MATCH(EDATE(DATE(YEAR('Settings &amp; Assumptions'!$B$6),MONTH('Settings &amp; Assumptions'!$B$6),1),0),'Monthly Reports'!A6:A29,0))</x:f>
        <x:v>n.b.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Winstmarge</x:v>
      </x:c>
      <x:c r="B12" s="2"/>
      <x:c r="C12" s="2"/>
      <x:c r="D12" s="2"/>
      <x:c r="E12" s="17" t="str">
        <x:f>INDEX('Monthly Reports'!G6:G29,MATCH(EDATE(DATE(YEAR('Settings &amp; Assumptions'!$B$6),MONTH('Settings &amp; Assumptions'!$B$6),1),0),'Monthly Reports'!A6:A29,0))</x:f>
        <x:v>n.b.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Openstaande klantfacturen</x:v>
      </x:c>
      <x:c r="B13" s="2"/>
      <x:c r="C13" s="2"/>
      <x:c r="D13" s="2"/>
      <x:c r="E13" s="16" t="str">
        <x:f>IF('Settings &amp; Assumptions'!$G$14&lt;&gt;1,"n.b.",SUMIFS(Invoices[open],Invoices[status],"&lt;&gt;concept",Invoices[status],"&lt;&gt;geannuleerd"))</x:f>
        <x:v>n.b.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Vervallen klantfacturen</x:v>
      </x:c>
      <x:c r="B14" s="2"/>
      <x:c r="C14" s="2"/>
      <x:c r="D14" s="2"/>
      <x:c r="E14" s="16" t="str">
        <x:f>IF('Settings &amp; Assumptions'!$G$14&lt;&gt;1,"n.b.",SUMIFS(Invoices[open],Invoices[due_date],"&lt;"&amp;'Settings &amp; Assumptions'!$B$6,Invoices[status],"&lt;&gt;concept",Invoices[status],"&lt;&gt;geannuleerd"))</x:f>
        <x:v>n.b.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Omzet per gewerkte dag</x:v>
      </x:c>
      <x:c r="B15" s="2"/>
      <x:c r="C15" s="2"/>
      <x:c r="D15" s="2"/>
      <x:c r="E15" s="16" t="str">
        <x:f>INDEX('Monthly Reports'!M6:M29,MATCH(EDATE(DATE(YEAR('Settings &amp; Assumptions'!$B$6),MONTH('Settings &amp; Assumptions'!$B$6),1),0),'Monthly Reports'!A6:A29,0))</x:f>
        <x:v>n.b.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Omzet per gewerkt uur</x:v>
      </x:c>
      <x:c r="B16" s="2"/>
      <x:c r="C16" s="2"/>
      <x:c r="D16" s="2"/>
      <x:c r="E16" s="16" t="str">
        <x:f>INDEX('Monthly Reports'!N6:N29,MATCH(EDATE(DATE(YEAR('Settings &amp; Assumptions'!$B$6),MONTH('Settings &amp; Assumptions'!$B$6),1),0),'Monthly Reports'!A6:A29,0))</x:f>
        <x:v>n.b.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str">
        <x:v>Omzetgroei t.o.v. vorige maand</x:v>
      </x:c>
      <x:c r="B17" s="2"/>
      <x:c r="C17" s="2"/>
      <x:c r="D17" s="2"/>
      <x:c r="E17" s="17" t="str">
        <x:f>IF(COUNT(E6:E7)&lt;2,"n.b.",IF(E7=0,"n.b.",E6/E7-1))</x:f>
        <x:v>n.b.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v>Openstaande leveranciers</x:v>
      </x:c>
      <x:c r="B18" s="2"/>
      <x:c r="C18" s="2"/>
      <x:c r="D18" s="2"/>
      <x:c r="E18" s="16" t="str">
        <x:f>IF('Settings &amp; Assumptions'!$G$15&lt;&gt;1,"n.b.",SUM(Expenses[open]))</x:f>
        <x:v>n.b.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v>Gemiddelde factuurwaarde</x:v>
      </x:c>
      <x:c r="B19" s="2"/>
      <x:c r="C19" s="2"/>
      <x:c r="D19" s="2"/>
      <x:c r="E19" s="16" t="str">
        <x:f>IF('Settings &amp; Assumptions'!$G$14&lt;&gt;1,"n.b.",IF(COUNTIFS(Invoices[status],"&lt;&gt;concept",Invoices[status],"&lt;&gt;geannuleerd",Invoices[id],"&lt;&gt;")=0,"n.b.",SUMIFS(Invoices[amount_excl],Invoices[status],"&lt;&gt;concept",Invoices[status],"&lt;&gt;geannuleerd")/COUNTIFS(Invoices[status],"&lt;&gt;concept",Invoices[status],"&lt;&gt;geannuleerd",Invoices[id],"&lt;&gt;")))</x:f>
        <x:v>n.b.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v>Kosten dit jaar</x:v>
      </x:c>
      <x:c r="B20" s="2"/>
      <x:c r="C20" s="2"/>
      <x:c r="D20" s="2"/>
      <x:c r="E20" s="16" t="str">
        <x:f>IF('Settings &amp; Assumptions'!$G$15&lt;&gt;1,"n.b.",SUMIFS(Expenses[amount_excl],Expenses[date],"&gt;="&amp;DATE(YEAR('Settings &amp; Assumptions'!$B$6),1,1),Expenses[date],"&lt;="&amp;'Settings &amp; Assumptions'!$B$6,Expenses[capital_asset],"no"))</x:f>
        <x:v>n.b.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 t="str">
        <x:v>Winst dit jaar</x:v>
      </x:c>
      <x:c r="B21" s="2"/>
      <x:c r="C21" s="2"/>
      <x:c r="D21" s="2"/>
      <x:c r="E21" s="16" t="str">
        <x:f>IF(COUNT(E8,E20)&lt;2,"n.b.",E8-E20)</x:f>
        <x:v>n.b.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 t="str">
        <x:v>Gemiddelde kosten laatste 3 maanden</x:v>
      </x:c>
      <x:c r="B22" s="2"/>
      <x:c r="C22" s="2"/>
      <x:c r="D22" s="2"/>
      <x:c r="E22" s="16" t="str">
        <x:f>IF(COUNT(INDEX('Monthly Reports'!C6:C29,MATCH(EDATE(DATE(YEAR('Settings &amp; Assumptions'!$B$6),MONTH('Settings &amp; Assumptions'!$B$6),1),-1),'Monthly Reports'!A6:A29,0)),INDEX('Monthly Reports'!C6:C29,MATCH(EDATE(DATE(YEAR('Settings &amp; Assumptions'!$B$6),MONTH('Settings &amp; Assumptions'!$B$6),1),-2),'Monthly Reports'!A6:A29,0)),INDEX('Monthly Reports'!C6:C29,MATCH(EDATE(DATE(YEAR('Settings &amp; Assumptions'!$B$6),MONTH('Settings &amp; Assumptions'!$B$6),1),-3),'Monthly Reports'!A6:A29,0)))&lt;3,"n.b.",AVERAGE(INDEX('Monthly Reports'!C6:C29,MATCH(EDATE(DATE(YEAR('Settings &amp; Assumptions'!$B$6),MONTH('Settings &amp; Assumptions'!$B$6),1),-1),'Monthly Reports'!A6:A29,0)),INDEX('Monthly Reports'!C6:C29,MATCH(EDATE(DATE(YEAR('Settings &amp; Assumptions'!$B$6),MONTH('Settings &amp; Assumptions'!$B$6),1),-2),'Monthly Reports'!A6:A29,0)),INDEX('Monthly Reports'!C6:C29,MATCH(EDATE(DATE(YEAR('Settings &amp; Assumptions'!$B$6),MONTH('Settings &amp; Assumptions'!$B$6),1),-3),'Monthly Reports'!A6:A29,0))))</x:f>
        <x:v>n.b.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 t="str">
        <x:v>Kosten op jaarbasis</x:v>
      </x:c>
      <x:c r="B23" s="2"/>
      <x:c r="C23" s="2"/>
      <x:c r="D23" s="2"/>
      <x:c r="E23" s="16" t="str">
        <x:f>IF(ISNUMBER(E22),E22*12,"n.b.")</x:f>
        <x:v>n.b.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 t="str">
        <x:v>Omzet peildatum</x:v>
      </x:c>
      <x:c r="B26" s="2"/>
      <x:c r="C26" s="2"/>
      <x:c r="D26" s="2"/>
      <x:c r="E26" s="16" t="str">
        <x:f>IF('Settings &amp; Assumptions'!$G$14&lt;&gt;1,"n.b.",SUMIFS(Invoices[amount_excl],Invoices[date],'Settings &amp; Assumptions'!$B$6,Invoices[status],"&lt;&gt;concept",Invoices[status],"&lt;&gt;geannuleerd"))</x:f>
        <x:v>n.b.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 t="str">
        <x:v>Omzet huidige week</x:v>
      </x:c>
      <x:c r="B27" s="2"/>
      <x:c r="C27" s="2"/>
      <x:c r="D27" s="2"/>
      <x:c r="E27" s="16" t="str">
        <x:f>IF('Settings &amp; Assumptions'!$G$14&lt;&gt;1,"n.b.",SUMIFS(Invoices[amount_excl],Invoices[date],"&gt;="&amp;('Settings &amp; Assumptions'!$B$6-WEEKDAY('Settings &amp; Assumptions'!$B$6,2)+1),Invoices[date],"&lt;="&amp;'Settings &amp; Assumptions'!$B$6,Invoices[status],"&lt;&gt;concept",Invoices[status],"&lt;&gt;geannuleerd"))</x:f>
        <x:v>n.b.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 t="str">
        <x:v>Omzet huidige kwartaal</x:v>
      </x:c>
      <x:c r="B28" s="2"/>
      <x:c r="C28" s="2"/>
      <x:c r="D28" s="2"/>
      <x:c r="E28" s="16" t="str">
        <x:f>IF('Settings &amp; Assumptions'!$G$14&lt;&gt;1,"n.b.",SUMIFS(Invoices[amount_excl],Invoices[date],"&gt;="&amp;DATE(YEAR('Settings &amp; Assumptions'!$B$6),INT((MONTH('Settings &amp; Assumptions'!$B$6)-1)/3)*3+1,1),Invoices[date],"&lt;="&amp;'Settings &amp; Assumptions'!$B$6,Invoices[status],"&lt;&gt;concept",Invoices[status],"&lt;&gt;geannuleerd"))</x:f>
        <x:v>n.b.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 t="str">
        <x:v>Winst per werkdag</x:v>
      </x:c>
      <x:c r="B29" s="2"/>
      <x:c r="C29" s="2"/>
      <x:c r="D29" s="2"/>
      <x:c r="E29" s="16" t="str">
        <x:f>IF(OR(NOT(ISNUMBER(E11)),NOT(ISNUMBER(INDEX('Monthly Reports'!K6:K29,MATCH(EDATE(DATE(YEAR('Settings &amp; Assumptions'!$B$6),MONTH('Settings &amp; Assumptions'!$B$6),1),0),'Monthly Reports'!A6:A29,0)))),INDEX('Monthly Reports'!K6:K29,MATCH(EDATE(DATE(YEAR('Settings &amp; Assumptions'!$B$6),MONTH('Settings &amp; Assumptions'!$B$6),1),0),'Monthly Reports'!A6:A29,0))&lt;=0),"n.b.",E11/INDEX('Monthly Reports'!K6:K29,MATCH(EDATE(DATE(YEAR('Settings &amp; Assumptions'!$B$6),MONTH('Settings &amp; Assumptions'!$B$6),1),0),'Monthly Reports'!A6:A29,0)))</x:f>
        <x:v>n.b.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 t="str">
        <x:v>Winst per gewerkt uur</x:v>
      </x:c>
      <x:c r="B30" s="2"/>
      <x:c r="C30" s="2"/>
      <x:c r="D30" s="2"/>
      <x:c r="E30" s="16" t="str">
        <x:f>IF(OR(NOT(ISNUMBER(E11)),NOT(ISNUMBER(INDEX('Monthly Reports'!L6:L29,MATCH(EDATE(DATE(YEAR('Settings &amp; Assumptions'!$B$6),MONTH('Settings &amp; Assumptions'!$B$6),1),0),'Monthly Reports'!A6:A29,0)))),INDEX('Monthly Reports'!L6:L29,MATCH(EDATE(DATE(YEAR('Settings &amp; Assumptions'!$B$6),MONTH('Settings &amp; Assumptions'!$B$6),1),0),'Monthly Reports'!A6:A29,0))&lt;=0),"n.b.",E11/INDEX('Monthly Reports'!L6:L29,MATCH(EDATE(DATE(YEAR('Settings &amp; Assumptions'!$B$6),MONTH('Settings &amp; Assumptions'!$B$6),1),0),'Monthly Reports'!A6:A29,0)))</x:f>
        <x:v>n.b.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 t="str">
        <x:v>Zakelijke kostenratio</x:v>
      </x:c>
      <x:c r="B31" s="2"/>
      <x:c r="C31" s="2"/>
      <x:c r="D31" s="2"/>
      <x:c r="E31" s="17" t="str">
        <x:f>IF(OR(COUNT(E6,E9)&lt;2,E6=0),"n.b.",E9/E6)</x:f>
        <x:v>n.b.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6:D6"/>
    <x:mergeCell ref="E6:G6"/>
    <x:mergeCell ref="A7:D7"/>
    <x:mergeCell ref="E7:G7"/>
    <x:mergeCell ref="A8:D8"/>
    <x:mergeCell ref="E8:G8"/>
    <x:mergeCell ref="A9:D9"/>
    <x:mergeCell ref="E9:G9"/>
    <x:mergeCell ref="A10:D10"/>
    <x:mergeCell ref="E10:G10"/>
    <x:mergeCell ref="A11:D11"/>
    <x:mergeCell ref="E11:G11"/>
    <x:mergeCell ref="A12:D12"/>
    <x:mergeCell ref="E12:G12"/>
    <x:mergeCell ref="A13:D13"/>
    <x:mergeCell ref="E13:G13"/>
    <x:mergeCell ref="A14:D14"/>
    <x:mergeCell ref="E14:G14"/>
    <x:mergeCell ref="A15:D15"/>
    <x:mergeCell ref="E15:G15"/>
    <x:mergeCell ref="A16:D16"/>
    <x:mergeCell ref="E16:G16"/>
    <x:mergeCell ref="A17:D17"/>
    <x:mergeCell ref="E17:G17"/>
    <x:mergeCell ref="A18:D18"/>
    <x:mergeCell ref="E18:G18"/>
    <x:mergeCell ref="A19:D19"/>
    <x:mergeCell ref="E19:G19"/>
    <x:mergeCell ref="A20:D20"/>
    <x:mergeCell ref="E20:G20"/>
    <x:mergeCell ref="A21:D21"/>
    <x:mergeCell ref="E21:G21"/>
    <x:mergeCell ref="A22:D22"/>
    <x:mergeCell ref="E22:G22"/>
    <x:mergeCell ref="A23:D23"/>
    <x:mergeCell ref="E23:G23"/>
    <x:mergeCell ref="A26:D26"/>
    <x:mergeCell ref="E26:G26"/>
    <x:mergeCell ref="A27:D27"/>
    <x:mergeCell ref="E27:G27"/>
    <x:mergeCell ref="A28:D28"/>
    <x:mergeCell ref="E28:G28"/>
    <x:mergeCell ref="A29:D29"/>
    <x:mergeCell ref="E29:G29"/>
    <x:mergeCell ref="A30:D30"/>
    <x:mergeCell ref="E30:G30"/>
    <x:mergeCell ref="A31:D31"/>
    <x:mergeCell ref="E31:G31"/>
    <x:mergeCell ref="N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AA0F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Uitgereikte facturen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Exclusief concepten en geannuleerde facturen. Voorschotten en eindfacturen: importeer uitsluitend de werkelijk uitgereikte bedragen na voorschotaftrek.</x:v>
      </x:c>
      <x:c r="B3" s="5" t="str">
        <x:v>Exclusief concepten en geannuleerde facturen. Voorschotten en eindfacturen: importeer uitsluitend de werkelijk uitgereikte bedragen na voorschotaftrek.</x:v>
      </x:c>
      <x:c r="C3" s="5" t="str">
        <x:v>Exclusief concepten en geannuleerde facturen. Voorschotten en eindfacturen: importeer uitsluitend de werkelijk uitgereikte bedragen na voorschotaftrek.</x:v>
      </x:c>
      <x:c r="D3" s="5" t="str">
        <x:v>Exclusief concepten en geannuleerde facturen. Voorschotten en eindfacturen: importeer uitsluitend de werkelijk uitgereikte bedragen na voorschotaftrek.</x:v>
      </x:c>
      <x:c r="E3" s="5" t="str">
        <x:v>Exclusief concepten en geannuleerde facturen. Voorschotten en eindfacturen: importeer uitsluitend de werkelijk uitgereikte bedragen na voorschotaftrek.</x:v>
      </x:c>
      <x:c r="F3" s="5" t="str">
        <x:v>Exclusief concepten en geannuleerde facturen. Voorschotten en eindfacturen: importeer uitsluitend de werkelijk uitgereikte bedragen na voorschotaftrek.</x:v>
      </x:c>
      <x:c r="G3" s="5" t="str">
        <x:v>Exclusief concepten en geannuleerde facturen. Voorschotten en eindfacturen: importeer uitsluitend de werkelijk uitgereikte bedragen na voorschotaftrek.</x:v>
      </x:c>
      <x:c r="H3" s="5" t="str">
        <x:v>Exclusief concepten en geannuleerde facturen. Voorschotten en eindfacturen: importeer uitsluitend de werkelijk uitgereikte bedragen na voorschotaftrek.</x:v>
      </x:c>
      <x:c r="I3" s="5" t="str">
        <x:v>Exclusief concepten en geannuleerde facturen. Voorschotten en eindfacturen: importeer uitsluitend de werkelijk uitgereikte bedragen na voorschotaftrek.</x:v>
      </x:c>
      <x:c r="J3" s="5" t="str">
        <x:v>Exclusief concepten en geannuleerde facturen. Voorschotten en eindfacturen: importeer uitsluitend de werkelijk uitgereikte bedragen na voorschotaftrek.</x:v>
      </x:c>
      <x:c r="K3" s="5" t="str">
        <x:v>Exclusief concepten en geannuleerde facturen. Voorschotten en eindfacturen: importeer uitsluitend de werkelijk uitgereikte bedragen na voorschotaftrek.</x:v>
      </x:c>
      <x:c r="L3" s="5" t="str">
        <x:v>Exclusief concepten en geannuleerde facturen. Voorschotten en eindfacturen: importeer uitsluitend de werkelijk uitgereikte bedragen na voorschotaftrek.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id</x:v>
      </x:c>
      <x:c r="B5" s="8" t="str">
        <x:v>date</x:v>
      </x:c>
      <x:c r="C5" s="8" t="str">
        <x:v>due_date</x:v>
      </x:c>
      <x:c r="D5" s="8" t="str">
        <x:v>number</x:v>
      </x:c>
      <x:c r="E5" s="8" t="str">
        <x:v>status</x:v>
      </x:c>
      <x:c r="F5" s="8" t="str">
        <x:v>project_id</x:v>
      </x:c>
      <x:c r="G5" s="8" t="str">
        <x:v>customer</x:v>
      </x:c>
      <x:c r="H5" s="8" t="str">
        <x:v>amount_excl</x:v>
      </x:c>
      <x:c r="I5" s="8" t="str">
        <x:v>vat</x:v>
      </x:c>
      <x:c r="J5" s="8" t="str">
        <x:v>amount_incl</x:v>
      </x:c>
      <x:c r="K5" s="8" t="str">
        <x:v>paid</x:v>
      </x:c>
      <x:c r="L5" s="8" t="str">
        <x:v>open</x:v>
      </x:c>
      <x:c r="M5" s="8" t="str">
        <x:v>vat_treatment</x:v>
      </x:c>
      <x:c r="N5" s="8" t="str">
        <x:v>valid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/>
      <x:c r="B6" s="13"/>
      <x:c r="C6" s="13"/>
      <x:c r="D6" s="2"/>
      <x:c r="E6" s="2"/>
      <x:c r="F6" s="2"/>
      <x:c r="G6" s="2"/>
      <x:c r="H6" s="12"/>
      <x:c r="I6" s="12"/>
      <x:c r="J6" s="12"/>
      <x:c r="K6" s="12"/>
      <x:c r="L6" s="12"/>
      <x:c r="M6" s="2"/>
      <x:c r="N6" s="2" t="n">
        <x:f>IF(A6="",0,IF(OR(E6="concept",E6="geannuleerd"),1,IF(AND(COUNT(B6:C6)=2,COUNT(H6:L6)=5,M6&lt;&gt;"unknown",M6&lt;&gt;"",ABS(H6+I6-J6)&lt;=0.02,ABS(J6-K6-L6)&lt;=0.02),1,0)))</x:f>
        <x:v>0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/>
      <x:c r="B7" s="13"/>
      <x:c r="C7" s="13"/>
      <x:c r="D7" s="2"/>
      <x:c r="E7" s="2"/>
      <x:c r="F7" s="2"/>
      <x:c r="G7" s="2"/>
      <x:c r="H7" s="12"/>
      <x:c r="I7" s="12"/>
      <x:c r="J7" s="12"/>
      <x:c r="K7" s="12"/>
      <x:c r="L7" s="1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/>
      <x:c r="B8" s="13"/>
      <x:c r="C8" s="13"/>
      <x:c r="D8" s="2"/>
      <x:c r="E8" s="2"/>
      <x:c r="F8" s="2"/>
      <x:c r="G8" s="2"/>
      <x:c r="H8" s="12"/>
      <x:c r="I8" s="12"/>
      <x:c r="J8" s="12"/>
      <x:c r="K8" s="12"/>
      <x:c r="L8" s="1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/>
      <x:c r="B9" s="13"/>
      <x:c r="C9" s="13"/>
      <x:c r="D9" s="2"/>
      <x:c r="E9" s="2"/>
      <x:c r="F9" s="2"/>
      <x:c r="G9" s="2"/>
      <x:c r="H9" s="12"/>
      <x:c r="I9" s="12"/>
      <x:c r="J9" s="12"/>
      <x:c r="K9" s="12"/>
      <x:c r="L9" s="1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/>
      <x:c r="B10" s="13"/>
      <x:c r="C10" s="13"/>
      <x:c r="D10" s="2"/>
      <x:c r="E10" s="2"/>
      <x:c r="F10" s="2"/>
      <x:c r="G10" s="2"/>
      <x:c r="H10" s="12"/>
      <x:c r="I10" s="12"/>
      <x:c r="J10" s="12"/>
      <x:c r="K10" s="12"/>
      <x:c r="L10" s="1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/>
      <x:c r="B11" s="13"/>
      <x:c r="C11" s="13"/>
      <x:c r="D11" s="2"/>
      <x:c r="E11" s="2"/>
      <x:c r="F11" s="2"/>
      <x:c r="G11" s="2"/>
      <x:c r="H11" s="12"/>
      <x:c r="I11" s="12"/>
      <x:c r="J11" s="12"/>
      <x:c r="K11" s="12"/>
      <x:c r="L11" s="1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/>
      <x:c r="B12" s="13"/>
      <x:c r="C12" s="13"/>
      <x:c r="D12" s="2"/>
      <x:c r="E12" s="2"/>
      <x:c r="F12" s="2"/>
      <x:c r="G12" s="2"/>
      <x:c r="H12" s="12"/>
      <x:c r="I12" s="12"/>
      <x:c r="J12" s="12"/>
      <x:c r="K12" s="12"/>
      <x:c r="L12" s="1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/>
      <x:c r="B13" s="13"/>
      <x:c r="C13" s="13"/>
      <x:c r="D13" s="2"/>
      <x:c r="E13" s="2"/>
      <x:c r="F13" s="2"/>
      <x:c r="G13" s="2"/>
      <x:c r="H13" s="12"/>
      <x:c r="I13" s="12"/>
      <x:c r="J13" s="12"/>
      <x:c r="K13" s="12"/>
      <x:c r="L13" s="1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/>
      <x:c r="B14" s="13"/>
      <x:c r="C14" s="13"/>
      <x:c r="D14" s="2"/>
      <x:c r="E14" s="2"/>
      <x:c r="F14" s="2"/>
      <x:c r="G14" s="2"/>
      <x:c r="H14" s="12"/>
      <x:c r="I14" s="12"/>
      <x:c r="J14" s="12"/>
      <x:c r="K14" s="12"/>
      <x:c r="L14" s="1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/>
      <x:c r="B15" s="13"/>
      <x:c r="C15" s="13"/>
      <x:c r="D15" s="2"/>
      <x:c r="E15" s="2"/>
      <x:c r="F15" s="2"/>
      <x:c r="G15" s="2"/>
      <x:c r="H15" s="12"/>
      <x:c r="I15" s="12"/>
      <x:c r="J15" s="12"/>
      <x:c r="K15" s="12"/>
      <x:c r="L15" s="1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/>
      <x:c r="B16" s="13"/>
      <x:c r="C16" s="13"/>
      <x:c r="D16" s="2"/>
      <x:c r="E16" s="2"/>
      <x:c r="F16" s="2"/>
      <x:c r="G16" s="2"/>
      <x:c r="H16" s="12"/>
      <x:c r="I16" s="12"/>
      <x:c r="J16" s="12"/>
      <x:c r="K16" s="12"/>
      <x:c r="L16" s="1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13"/>
      <x:c r="C17" s="13"/>
      <x:c r="D17" s="2"/>
      <x:c r="E17" s="2"/>
      <x:c r="F17" s="2"/>
      <x:c r="G17" s="2"/>
      <x:c r="H17" s="12"/>
      <x:c r="I17" s="12"/>
      <x:c r="J17" s="12"/>
      <x:c r="K17" s="12"/>
      <x:c r="L17" s="1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13"/>
      <x:c r="C18" s="13"/>
      <x:c r="D18" s="2"/>
      <x:c r="E18" s="2"/>
      <x:c r="F18" s="2"/>
      <x:c r="G18" s="2"/>
      <x:c r="H18" s="12"/>
      <x:c r="I18" s="12"/>
      <x:c r="J18" s="12"/>
      <x:c r="K18" s="12"/>
      <x:c r="L18" s="1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/>
      <x:c r="B19" s="13"/>
      <x:c r="C19" s="13"/>
      <x:c r="D19" s="2"/>
      <x:c r="E19" s="2"/>
      <x:c r="F19" s="2"/>
      <x:c r="G19" s="2"/>
      <x:c r="H19" s="12"/>
      <x:c r="I19" s="12"/>
      <x:c r="J19" s="12"/>
      <x:c r="K19" s="12"/>
      <x:c r="L19" s="1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13"/>
      <x:c r="C20" s="13"/>
      <x:c r="D20" s="2"/>
      <x:c r="E20" s="2"/>
      <x:c r="F20" s="2"/>
      <x:c r="G20" s="2"/>
      <x:c r="H20" s="12"/>
      <x:c r="I20" s="12"/>
      <x:c r="J20" s="12"/>
      <x:c r="K20" s="12"/>
      <x:c r="L20" s="1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13"/>
      <x:c r="C21" s="13"/>
      <x:c r="D21" s="2"/>
      <x:c r="E21" s="2"/>
      <x:c r="F21" s="2"/>
      <x:c r="G21" s="2"/>
      <x:c r="H21" s="12"/>
      <x:c r="I21" s="12"/>
      <x:c r="J21" s="12"/>
      <x:c r="K21" s="12"/>
      <x:c r="L21" s="1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13"/>
      <x:c r="C22" s="13"/>
      <x:c r="D22" s="2"/>
      <x:c r="E22" s="2"/>
      <x:c r="F22" s="2"/>
      <x:c r="G22" s="2"/>
      <x:c r="H22" s="12"/>
      <x:c r="I22" s="12"/>
      <x:c r="J22" s="12"/>
      <x:c r="K22" s="12"/>
      <x:c r="L22" s="1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13"/>
      <x:c r="C23" s="13"/>
      <x:c r="D23" s="2"/>
      <x:c r="E23" s="2"/>
      <x:c r="F23" s="2"/>
      <x:c r="G23" s="2"/>
      <x:c r="H23" s="12"/>
      <x:c r="I23" s="12"/>
      <x:c r="J23" s="12"/>
      <x:c r="K23" s="12"/>
      <x:c r="L23" s="1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13"/>
      <x:c r="C24" s="13"/>
      <x:c r="D24" s="2"/>
      <x:c r="E24" s="2"/>
      <x:c r="F24" s="2"/>
      <x:c r="G24" s="2"/>
      <x:c r="H24" s="12"/>
      <x:c r="I24" s="12"/>
      <x:c r="J24" s="12"/>
      <x:c r="K24" s="12"/>
      <x:c r="L24" s="1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13"/>
      <x:c r="C25" s="13"/>
      <x:c r="D25" s="2"/>
      <x:c r="E25" s="2"/>
      <x:c r="F25" s="2"/>
      <x:c r="G25" s="2"/>
      <x:c r="H25" s="12"/>
      <x:c r="I25" s="12"/>
      <x:c r="J25" s="12"/>
      <x:c r="K25" s="12"/>
      <x:c r="L25" s="1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13"/>
      <x:c r="C26" s="13"/>
      <x:c r="D26" s="2"/>
      <x:c r="E26" s="2"/>
      <x:c r="F26" s="2"/>
      <x:c r="G26" s="2"/>
      <x:c r="H26" s="12"/>
      <x:c r="I26" s="12"/>
      <x:c r="J26" s="12"/>
      <x:c r="K26" s="12"/>
      <x:c r="L26" s="1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13"/>
      <x:c r="C27" s="13"/>
      <x:c r="D27" s="2"/>
      <x:c r="E27" s="2"/>
      <x:c r="F27" s="2"/>
      <x:c r="G27" s="2"/>
      <x:c r="H27" s="12"/>
      <x:c r="I27" s="12"/>
      <x:c r="J27" s="12"/>
      <x:c r="K27" s="12"/>
      <x:c r="L27" s="1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13"/>
      <x:c r="C28" s="13"/>
      <x:c r="D28" s="2"/>
      <x:c r="E28" s="2"/>
      <x:c r="F28" s="2"/>
      <x:c r="G28" s="2"/>
      <x:c r="H28" s="12"/>
      <x:c r="I28" s="12"/>
      <x:c r="J28" s="12"/>
      <x:c r="K28" s="12"/>
      <x:c r="L28" s="1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13"/>
      <x:c r="C29" s="13"/>
      <x:c r="D29" s="2"/>
      <x:c r="E29" s="2"/>
      <x:c r="F29" s="2"/>
      <x:c r="G29" s="2"/>
      <x:c r="H29" s="12"/>
      <x:c r="I29" s="12"/>
      <x:c r="J29" s="12"/>
      <x:c r="K29" s="12"/>
      <x:c r="L29" s="1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13"/>
      <x:c r="C30" s="13"/>
      <x:c r="D30" s="2"/>
      <x:c r="E30" s="2"/>
      <x:c r="F30" s="2"/>
      <x:c r="G30" s="2"/>
      <x:c r="H30" s="12"/>
      <x:c r="I30" s="12"/>
      <x:c r="J30" s="12"/>
      <x:c r="K30" s="12"/>
      <x:c r="L30" s="1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13"/>
      <x:c r="C31" s="13"/>
      <x:c r="D31" s="2"/>
      <x:c r="E31" s="2"/>
      <x:c r="F31" s="2"/>
      <x:c r="G31" s="2"/>
      <x:c r="H31" s="12"/>
      <x:c r="I31" s="12"/>
      <x:c r="J31" s="12"/>
      <x:c r="K31" s="12"/>
      <x:c r="L31" s="1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13"/>
      <x:c r="C32" s="13"/>
      <x:c r="D32" s="2"/>
      <x:c r="E32" s="2"/>
      <x:c r="F32" s="2"/>
      <x:c r="G32" s="2"/>
      <x:c r="H32" s="12"/>
      <x:c r="I32" s="12"/>
      <x:c r="J32" s="12"/>
      <x:c r="K32" s="12"/>
      <x:c r="L32" s="1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13"/>
      <x:c r="C33" s="13"/>
      <x:c r="D33" s="2"/>
      <x:c r="E33" s="2"/>
      <x:c r="F33" s="2"/>
      <x:c r="G33" s="2"/>
      <x:c r="H33" s="12"/>
      <x:c r="I33" s="12"/>
      <x:c r="J33" s="12"/>
      <x:c r="K33" s="12"/>
      <x:c r="L33" s="1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13"/>
      <x:c r="C34" s="13"/>
      <x:c r="D34" s="2"/>
      <x:c r="E34" s="2"/>
      <x:c r="F34" s="2"/>
      <x:c r="G34" s="2"/>
      <x:c r="H34" s="12"/>
      <x:c r="I34" s="12"/>
      <x:c r="J34" s="12"/>
      <x:c r="K34" s="12"/>
      <x:c r="L34" s="1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13"/>
      <x:c r="C35" s="13"/>
      <x:c r="D35" s="2"/>
      <x:c r="E35" s="2"/>
      <x:c r="F35" s="2"/>
      <x:c r="G35" s="2"/>
      <x:c r="H35" s="12"/>
      <x:c r="I35" s="12"/>
      <x:c r="J35" s="12"/>
      <x:c r="K35" s="12"/>
      <x:c r="L35" s="1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13"/>
      <x:c r="C36" s="13"/>
      <x:c r="D36" s="2"/>
      <x:c r="E36" s="2"/>
      <x:c r="F36" s="2"/>
      <x:c r="G36" s="2"/>
      <x:c r="H36" s="12"/>
      <x:c r="I36" s="12"/>
      <x:c r="J36" s="12"/>
      <x:c r="K36" s="12"/>
      <x:c r="L36" s="1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13"/>
      <x:c r="C37" s="13"/>
      <x:c r="D37" s="2"/>
      <x:c r="E37" s="2"/>
      <x:c r="F37" s="2"/>
      <x:c r="G37" s="2"/>
      <x:c r="H37" s="12"/>
      <x:c r="I37" s="12"/>
      <x:c r="J37" s="12"/>
      <x:c r="K37" s="12"/>
      <x:c r="L37" s="1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13"/>
      <x:c r="C38" s="13"/>
      <x:c r="D38" s="2"/>
      <x:c r="E38" s="2"/>
      <x:c r="F38" s="2"/>
      <x:c r="G38" s="2"/>
      <x:c r="H38" s="12"/>
      <x:c r="I38" s="12"/>
      <x:c r="J38" s="12"/>
      <x:c r="K38" s="12"/>
      <x:c r="L38" s="1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13"/>
      <x:c r="C39" s="13"/>
      <x:c r="D39" s="2"/>
      <x:c r="E39" s="2"/>
      <x:c r="F39" s="2"/>
      <x:c r="G39" s="2"/>
      <x:c r="H39" s="12"/>
      <x:c r="I39" s="12"/>
      <x:c r="J39" s="12"/>
      <x:c r="K39" s="12"/>
      <x:c r="L39" s="1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13"/>
      <x:c r="C40" s="13"/>
      <x:c r="D40" s="2"/>
      <x:c r="E40" s="2"/>
      <x:c r="F40" s="2"/>
      <x:c r="G40" s="2"/>
      <x:c r="H40" s="12"/>
      <x:c r="I40" s="12"/>
      <x:c r="J40" s="12"/>
      <x:c r="K40" s="12"/>
      <x:c r="L40" s="1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13"/>
      <x:c r="C41" s="13"/>
      <x:c r="D41" s="2"/>
      <x:c r="E41" s="2"/>
      <x:c r="F41" s="2"/>
      <x:c r="G41" s="2"/>
      <x:c r="H41" s="12"/>
      <x:c r="I41" s="12"/>
      <x:c r="J41" s="12"/>
      <x:c r="K41" s="12"/>
      <x:c r="L41" s="1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13"/>
      <x:c r="C42" s="13"/>
      <x:c r="D42" s="2"/>
      <x:c r="E42" s="2"/>
      <x:c r="F42" s="2"/>
      <x:c r="G42" s="2"/>
      <x:c r="H42" s="12"/>
      <x:c r="I42" s="12"/>
      <x:c r="J42" s="12"/>
      <x:c r="K42" s="12"/>
      <x:c r="L42" s="1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13"/>
      <x:c r="C43" s="13"/>
      <x:c r="D43" s="2"/>
      <x:c r="E43" s="2"/>
      <x:c r="F43" s="2"/>
      <x:c r="G43" s="2"/>
      <x:c r="H43" s="12"/>
      <x:c r="I43" s="12"/>
      <x:c r="J43" s="12"/>
      <x:c r="K43" s="12"/>
      <x:c r="L43" s="1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13"/>
      <x:c r="C44" s="13"/>
      <x:c r="D44" s="2"/>
      <x:c r="E44" s="2"/>
      <x:c r="F44" s="2"/>
      <x:c r="G44" s="2"/>
      <x:c r="H44" s="12"/>
      <x:c r="I44" s="12"/>
      <x:c r="J44" s="12"/>
      <x:c r="K44" s="12"/>
      <x:c r="L44" s="1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13"/>
      <x:c r="C45" s="13"/>
      <x:c r="D45" s="2"/>
      <x:c r="E45" s="2"/>
      <x:c r="F45" s="2"/>
      <x:c r="G45" s="2"/>
      <x:c r="H45" s="12"/>
      <x:c r="I45" s="12"/>
      <x:c r="J45" s="12"/>
      <x:c r="K45" s="12"/>
      <x:c r="L45" s="1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13"/>
      <x:c r="C46" s="13"/>
      <x:c r="D46" s="2"/>
      <x:c r="E46" s="2"/>
      <x:c r="F46" s="2"/>
      <x:c r="G46" s="2"/>
      <x:c r="H46" s="12"/>
      <x:c r="I46" s="12"/>
      <x:c r="J46" s="12"/>
      <x:c r="K46" s="12"/>
      <x:c r="L46" s="1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13"/>
      <x:c r="C47" s="13"/>
      <x:c r="D47" s="2"/>
      <x:c r="E47" s="2"/>
      <x:c r="F47" s="2"/>
      <x:c r="G47" s="2"/>
      <x:c r="H47" s="12"/>
      <x:c r="I47" s="12"/>
      <x:c r="J47" s="12"/>
      <x:c r="K47" s="12"/>
      <x:c r="L47" s="1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13"/>
      <x:c r="C48" s="13"/>
      <x:c r="D48" s="2"/>
      <x:c r="E48" s="2"/>
      <x:c r="F48" s="2"/>
      <x:c r="G48" s="2"/>
      <x:c r="H48" s="12"/>
      <x:c r="I48" s="12"/>
      <x:c r="J48" s="12"/>
      <x:c r="K48" s="12"/>
      <x:c r="L48" s="1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13"/>
      <x:c r="C49" s="13"/>
      <x:c r="D49" s="2"/>
      <x:c r="E49" s="2"/>
      <x:c r="F49" s="2"/>
      <x:c r="G49" s="2"/>
      <x:c r="H49" s="12"/>
      <x:c r="I49" s="12"/>
      <x:c r="J49" s="12"/>
      <x:c r="K49" s="12"/>
      <x:c r="L49" s="1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13"/>
      <x:c r="C50" s="13"/>
      <x:c r="D50" s="2"/>
      <x:c r="E50" s="2"/>
      <x:c r="F50" s="2"/>
      <x:c r="G50" s="2"/>
      <x:c r="H50" s="12"/>
      <x:c r="I50" s="12"/>
      <x:c r="J50" s="12"/>
      <x:c r="K50" s="12"/>
      <x:c r="L50" s="1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13"/>
      <x:c r="C51" s="13"/>
      <x:c r="D51" s="2"/>
      <x:c r="E51" s="2"/>
      <x:c r="F51" s="2"/>
      <x:c r="G51" s="2"/>
      <x:c r="H51" s="12"/>
      <x:c r="I51" s="12"/>
      <x:c r="J51" s="12"/>
      <x:c r="K51" s="12"/>
      <x:c r="L51" s="1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13"/>
      <x:c r="C52" s="13"/>
      <x:c r="D52" s="2"/>
      <x:c r="E52" s="2"/>
      <x:c r="F52" s="2"/>
      <x:c r="G52" s="2"/>
      <x:c r="H52" s="12"/>
      <x:c r="I52" s="12"/>
      <x:c r="J52" s="12"/>
      <x:c r="K52" s="12"/>
      <x:c r="L52" s="1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13"/>
      <x:c r="C53" s="13"/>
      <x:c r="D53" s="2"/>
      <x:c r="E53" s="2"/>
      <x:c r="F53" s="2"/>
      <x:c r="G53" s="2"/>
      <x:c r="H53" s="12"/>
      <x:c r="I53" s="12"/>
      <x:c r="J53" s="12"/>
      <x:c r="K53" s="12"/>
      <x:c r="L53" s="1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13"/>
      <x:c r="C54" s="13"/>
      <x:c r="D54" s="2"/>
      <x:c r="E54" s="2"/>
      <x:c r="F54" s="2"/>
      <x:c r="G54" s="2"/>
      <x:c r="H54" s="12"/>
      <x:c r="I54" s="12"/>
      <x:c r="J54" s="12"/>
      <x:c r="K54" s="12"/>
      <x:c r="L54" s="1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13"/>
      <x:c r="C55" s="13"/>
      <x:c r="D55" s="2"/>
      <x:c r="E55" s="2"/>
      <x:c r="F55" s="2"/>
      <x:c r="G55" s="2"/>
      <x:c r="H55" s="12"/>
      <x:c r="I55" s="12"/>
      <x:c r="J55" s="12"/>
      <x:c r="K55" s="12"/>
      <x:c r="L55" s="1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13"/>
      <x:c r="C56" s="13"/>
      <x:c r="D56" s="2"/>
      <x:c r="E56" s="2"/>
      <x:c r="F56" s="2"/>
      <x:c r="G56" s="2"/>
      <x:c r="H56" s="12"/>
      <x:c r="I56" s="12"/>
      <x:c r="J56" s="12"/>
      <x:c r="K56" s="12"/>
      <x:c r="L56" s="1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13"/>
      <x:c r="C57" s="13"/>
      <x:c r="D57" s="2"/>
      <x:c r="E57" s="2"/>
      <x:c r="F57" s="2"/>
      <x:c r="G57" s="2"/>
      <x:c r="H57" s="12"/>
      <x:c r="I57" s="12"/>
      <x:c r="J57" s="12"/>
      <x:c r="K57" s="12"/>
      <x:c r="L57" s="1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13"/>
      <x:c r="C58" s="13"/>
      <x:c r="D58" s="2"/>
      <x:c r="E58" s="2"/>
      <x:c r="F58" s="2"/>
      <x:c r="G58" s="2"/>
      <x:c r="H58" s="12"/>
      <x:c r="I58" s="12"/>
      <x:c r="J58" s="12"/>
      <x:c r="K58" s="12"/>
      <x:c r="L58" s="1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13"/>
      <x:c r="C59" s="13"/>
      <x:c r="D59" s="2"/>
      <x:c r="E59" s="2"/>
      <x:c r="F59" s="2"/>
      <x:c r="G59" s="2"/>
      <x:c r="H59" s="12"/>
      <x:c r="I59" s="12"/>
      <x:c r="J59" s="12"/>
      <x:c r="K59" s="12"/>
      <x:c r="L59" s="1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13"/>
      <x:c r="C60" s="13"/>
      <x:c r="D60" s="2"/>
      <x:c r="E60" s="2"/>
      <x:c r="F60" s="2"/>
      <x:c r="G60" s="2"/>
      <x:c r="H60" s="12"/>
      <x:c r="I60" s="12"/>
      <x:c r="J60" s="12"/>
      <x:c r="K60" s="12"/>
      <x:c r="L60" s="1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13"/>
      <x:c r="C61" s="13"/>
      <x:c r="D61" s="2"/>
      <x:c r="E61" s="2"/>
      <x:c r="F61" s="2"/>
      <x:c r="G61" s="2"/>
      <x:c r="H61" s="12"/>
      <x:c r="I61" s="12"/>
      <x:c r="J61" s="12"/>
      <x:c r="K61" s="12"/>
      <x:c r="L61" s="1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13"/>
      <x:c r="C62" s="13"/>
      <x:c r="D62" s="2"/>
      <x:c r="E62" s="2"/>
      <x:c r="F62" s="2"/>
      <x:c r="G62" s="2"/>
      <x:c r="H62" s="12"/>
      <x:c r="I62" s="12"/>
      <x:c r="J62" s="12"/>
      <x:c r="K62" s="12"/>
      <x:c r="L62" s="1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13"/>
      <x:c r="C63" s="13"/>
      <x:c r="D63" s="2"/>
      <x:c r="E63" s="2"/>
      <x:c r="F63" s="2"/>
      <x:c r="G63" s="2"/>
      <x:c r="H63" s="12"/>
      <x:c r="I63" s="12"/>
      <x:c r="J63" s="12"/>
      <x:c r="K63" s="12"/>
      <x:c r="L63" s="1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13"/>
      <x:c r="C64" s="13"/>
      <x:c r="D64" s="2"/>
      <x:c r="E64" s="2"/>
      <x:c r="F64" s="2"/>
      <x:c r="G64" s="2"/>
      <x:c r="H64" s="12"/>
      <x:c r="I64" s="12"/>
      <x:c r="J64" s="12"/>
      <x:c r="K64" s="12"/>
      <x:c r="L64" s="1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13"/>
      <x:c r="C65" s="13"/>
      <x:c r="D65" s="2"/>
      <x:c r="E65" s="2"/>
      <x:c r="F65" s="2"/>
      <x:c r="G65" s="2"/>
      <x:c r="H65" s="12"/>
      <x:c r="I65" s="12"/>
      <x:c r="J65" s="12"/>
      <x:c r="K65" s="12"/>
      <x:c r="L65" s="1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13"/>
      <x:c r="C66" s="13"/>
      <x:c r="D66" s="2"/>
      <x:c r="E66" s="2"/>
      <x:c r="F66" s="2"/>
      <x:c r="G66" s="2"/>
      <x:c r="H66" s="12"/>
      <x:c r="I66" s="12"/>
      <x:c r="J66" s="12"/>
      <x:c r="K66" s="12"/>
      <x:c r="L66" s="1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13"/>
      <x:c r="C67" s="13"/>
      <x:c r="D67" s="2"/>
      <x:c r="E67" s="2"/>
      <x:c r="F67" s="2"/>
      <x:c r="G67" s="2"/>
      <x:c r="H67" s="12"/>
      <x:c r="I67" s="12"/>
      <x:c r="J67" s="12"/>
      <x:c r="K67" s="12"/>
      <x:c r="L67" s="1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13"/>
      <x:c r="C68" s="13"/>
      <x:c r="D68" s="2"/>
      <x:c r="E68" s="2"/>
      <x:c r="F68" s="2"/>
      <x:c r="G68" s="2"/>
      <x:c r="H68" s="12"/>
      <x:c r="I68" s="12"/>
      <x:c r="J68" s="12"/>
      <x:c r="K68" s="12"/>
      <x:c r="L68" s="1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13"/>
      <x:c r="C69" s="13"/>
      <x:c r="D69" s="2"/>
      <x:c r="E69" s="2"/>
      <x:c r="F69" s="2"/>
      <x:c r="G69" s="2"/>
      <x:c r="H69" s="12"/>
      <x:c r="I69" s="12"/>
      <x:c r="J69" s="12"/>
      <x:c r="K69" s="12"/>
      <x:c r="L69" s="1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13"/>
      <x:c r="C70" s="13"/>
      <x:c r="D70" s="2"/>
      <x:c r="E70" s="2"/>
      <x:c r="F70" s="2"/>
      <x:c r="G70" s="2"/>
      <x:c r="H70" s="12"/>
      <x:c r="I70" s="12"/>
      <x:c r="J70" s="12"/>
      <x:c r="K70" s="12"/>
      <x:c r="L70" s="1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13"/>
      <x:c r="C71" s="13"/>
      <x:c r="D71" s="2"/>
      <x:c r="E71" s="2"/>
      <x:c r="F71" s="2"/>
      <x:c r="G71" s="2"/>
      <x:c r="H71" s="12"/>
      <x:c r="I71" s="12"/>
      <x:c r="J71" s="12"/>
      <x:c r="K71" s="12"/>
      <x:c r="L71" s="1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13"/>
      <x:c r="C72" s="13"/>
      <x:c r="D72" s="2"/>
      <x:c r="E72" s="2"/>
      <x:c r="F72" s="2"/>
      <x:c r="G72" s="2"/>
      <x:c r="H72" s="12"/>
      <x:c r="I72" s="12"/>
      <x:c r="J72" s="12"/>
      <x:c r="K72" s="12"/>
      <x:c r="L72" s="1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13"/>
      <x:c r="C73" s="13"/>
      <x:c r="D73" s="2"/>
      <x:c r="E73" s="2"/>
      <x:c r="F73" s="2"/>
      <x:c r="G73" s="2"/>
      <x:c r="H73" s="12"/>
      <x:c r="I73" s="12"/>
      <x:c r="J73" s="12"/>
      <x:c r="K73" s="12"/>
      <x:c r="L73" s="1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13"/>
      <x:c r="C74" s="13"/>
      <x:c r="D74" s="2"/>
      <x:c r="E74" s="2"/>
      <x:c r="F74" s="2"/>
      <x:c r="G74" s="2"/>
      <x:c r="H74" s="12"/>
      <x:c r="I74" s="12"/>
      <x:c r="J74" s="12"/>
      <x:c r="K74" s="12"/>
      <x:c r="L74" s="1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13"/>
      <x:c r="C75" s="13"/>
      <x:c r="D75" s="2"/>
      <x:c r="E75" s="2"/>
      <x:c r="F75" s="2"/>
      <x:c r="G75" s="2"/>
      <x:c r="H75" s="12"/>
      <x:c r="I75" s="12"/>
      <x:c r="J75" s="12"/>
      <x:c r="K75" s="12"/>
      <x:c r="L75" s="1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13"/>
      <x:c r="C76" s="13"/>
      <x:c r="D76" s="2"/>
      <x:c r="E76" s="2"/>
      <x:c r="F76" s="2"/>
      <x:c r="G76" s="2"/>
      <x:c r="H76" s="12"/>
      <x:c r="I76" s="12"/>
      <x:c r="J76" s="12"/>
      <x:c r="K76" s="12"/>
      <x:c r="L76" s="1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13"/>
      <x:c r="C77" s="13"/>
      <x:c r="D77" s="2"/>
      <x:c r="E77" s="2"/>
      <x:c r="F77" s="2"/>
      <x:c r="G77" s="2"/>
      <x:c r="H77" s="12"/>
      <x:c r="I77" s="12"/>
      <x:c r="J77" s="12"/>
      <x:c r="K77" s="12"/>
      <x:c r="L77" s="1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13"/>
      <x:c r="C78" s="13"/>
      <x:c r="D78" s="2"/>
      <x:c r="E78" s="2"/>
      <x:c r="F78" s="2"/>
      <x:c r="G78" s="2"/>
      <x:c r="H78" s="12"/>
      <x:c r="I78" s="12"/>
      <x:c r="J78" s="12"/>
      <x:c r="K78" s="12"/>
      <x:c r="L78" s="1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13"/>
      <x:c r="C79" s="13"/>
      <x:c r="D79" s="2"/>
      <x:c r="E79" s="2"/>
      <x:c r="F79" s="2"/>
      <x:c r="G79" s="2"/>
      <x:c r="H79" s="12"/>
      <x:c r="I79" s="12"/>
      <x:c r="J79" s="12"/>
      <x:c r="K79" s="12"/>
      <x:c r="L79" s="1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13"/>
      <x:c r="C80" s="13"/>
      <x:c r="D80" s="2"/>
      <x:c r="E80" s="2"/>
      <x:c r="F80" s="2"/>
      <x:c r="G80" s="2"/>
      <x:c r="H80" s="12"/>
      <x:c r="I80" s="12"/>
      <x:c r="J80" s="12"/>
      <x:c r="K80" s="12"/>
      <x:c r="L80" s="1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13"/>
      <x:c r="C81" s="13"/>
      <x:c r="D81" s="2"/>
      <x:c r="E81" s="2"/>
      <x:c r="F81" s="2"/>
      <x:c r="G81" s="2"/>
      <x:c r="H81" s="12"/>
      <x:c r="I81" s="12"/>
      <x:c r="J81" s="12"/>
      <x:c r="K81" s="12"/>
      <x:c r="L81" s="1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13"/>
      <x:c r="C82" s="13"/>
      <x:c r="D82" s="2"/>
      <x:c r="E82" s="2"/>
      <x:c r="F82" s="2"/>
      <x:c r="G82" s="2"/>
      <x:c r="H82" s="12"/>
      <x:c r="I82" s="12"/>
      <x:c r="J82" s="12"/>
      <x:c r="K82" s="12"/>
      <x:c r="L82" s="1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13"/>
      <x:c r="C83" s="13"/>
      <x:c r="D83" s="2"/>
      <x:c r="E83" s="2"/>
      <x:c r="F83" s="2"/>
      <x:c r="G83" s="2"/>
      <x:c r="H83" s="12"/>
      <x:c r="I83" s="12"/>
      <x:c r="J83" s="12"/>
      <x:c r="K83" s="12"/>
      <x:c r="L83" s="1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13"/>
      <x:c r="C84" s="13"/>
      <x:c r="D84" s="2"/>
      <x:c r="E84" s="2"/>
      <x:c r="F84" s="2"/>
      <x:c r="G84" s="2"/>
      <x:c r="H84" s="12"/>
      <x:c r="I84" s="12"/>
      <x:c r="J84" s="12"/>
      <x:c r="K84" s="12"/>
      <x:c r="L84" s="1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13"/>
      <x:c r="C85" s="13"/>
      <x:c r="D85" s="2"/>
      <x:c r="E85" s="2"/>
      <x:c r="F85" s="2"/>
      <x:c r="G85" s="2"/>
      <x:c r="H85" s="12"/>
      <x:c r="I85" s="12"/>
      <x:c r="J85" s="12"/>
      <x:c r="K85" s="12"/>
      <x:c r="L85" s="1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13"/>
      <x:c r="C86" s="13"/>
      <x:c r="D86" s="2"/>
      <x:c r="E86" s="2"/>
      <x:c r="F86" s="2"/>
      <x:c r="G86" s="2"/>
      <x:c r="H86" s="12"/>
      <x:c r="I86" s="12"/>
      <x:c r="J86" s="12"/>
      <x:c r="K86" s="12"/>
      <x:c r="L86" s="1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13"/>
      <x:c r="C87" s="13"/>
      <x:c r="D87" s="2"/>
      <x:c r="E87" s="2"/>
      <x:c r="F87" s="2"/>
      <x:c r="G87" s="2"/>
      <x:c r="H87" s="12"/>
      <x:c r="I87" s="12"/>
      <x:c r="J87" s="12"/>
      <x:c r="K87" s="12"/>
      <x:c r="L87" s="1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13"/>
      <x:c r="C88" s="13"/>
      <x:c r="D88" s="2"/>
      <x:c r="E88" s="2"/>
      <x:c r="F88" s="2"/>
      <x:c r="G88" s="2"/>
      <x:c r="H88" s="12"/>
      <x:c r="I88" s="12"/>
      <x:c r="J88" s="12"/>
      <x:c r="K88" s="12"/>
      <x:c r="L88" s="1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13"/>
      <x:c r="C89" s="13"/>
      <x:c r="D89" s="2"/>
      <x:c r="E89" s="2"/>
      <x:c r="F89" s="2"/>
      <x:c r="G89" s="2"/>
      <x:c r="H89" s="12"/>
      <x:c r="I89" s="12"/>
      <x:c r="J89" s="12"/>
      <x:c r="K89" s="12"/>
      <x:c r="L89" s="1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13"/>
      <x:c r="C90" s="13"/>
      <x:c r="D90" s="2"/>
      <x:c r="E90" s="2"/>
      <x:c r="F90" s="2"/>
      <x:c r="G90" s="2"/>
      <x:c r="H90" s="12"/>
      <x:c r="I90" s="12"/>
      <x:c r="J90" s="12"/>
      <x:c r="K90" s="12"/>
      <x:c r="L90" s="1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N2:P2"/>
  </x:mergeCells>
  <x:pageMargins left="0.7" right="0.7" top="0.75" bottom="0.75" header="0.3" footer="0.3"/>
  <x:tableParts count="1">
    <x:tablePart xmlns:r="http://schemas.openxmlformats.org/officeDocument/2006/relationships" r:id="Rcb9b8cef39d44d5b"/>
  </x:tableParts>
</x:worksheet>
</file>

<file path=xl/worksheets/sheet5.xml><?xml version="1.0" encoding="utf-8"?>
<x:worksheet xmlns:x="http://schemas.openxmlformats.org/spreadsheetml/2006/main">
  <x:sheetPr>
    <x:tabColor rgb="FFBAA0F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Zakelijke kosten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Kosten uit facturen/bonnen, geen extra optelling van bijbehorende bankbetalingen. Investeringen activeren; btw-aftrek expliciet bevestigen.</x:v>
      </x:c>
      <x:c r="B3" s="5" t="str">
        <x:v>Kosten uit facturen/bonnen, geen extra optelling van bijbehorende bankbetalingen. Investeringen activeren; btw-aftrek expliciet bevestigen.</x:v>
      </x:c>
      <x:c r="C3" s="5" t="str">
        <x:v>Kosten uit facturen/bonnen, geen extra optelling van bijbehorende bankbetalingen. Investeringen activeren; btw-aftrek expliciet bevestigen.</x:v>
      </x:c>
      <x:c r="D3" s="5" t="str">
        <x:v>Kosten uit facturen/bonnen, geen extra optelling van bijbehorende bankbetalingen. Investeringen activeren; btw-aftrek expliciet bevestigen.</x:v>
      </x:c>
      <x:c r="E3" s="5" t="str">
        <x:v>Kosten uit facturen/bonnen, geen extra optelling van bijbehorende bankbetalingen. Investeringen activeren; btw-aftrek expliciet bevestigen.</x:v>
      </x:c>
      <x:c r="F3" s="5" t="str">
        <x:v>Kosten uit facturen/bonnen, geen extra optelling van bijbehorende bankbetalingen. Investeringen activeren; btw-aftrek expliciet bevestigen.</x:v>
      </x:c>
      <x:c r="G3" s="5" t="str">
        <x:v>Kosten uit facturen/bonnen, geen extra optelling van bijbehorende bankbetalingen. Investeringen activeren; btw-aftrek expliciet bevestigen.</x:v>
      </x:c>
      <x:c r="H3" s="5" t="str">
        <x:v>Kosten uit facturen/bonnen, geen extra optelling van bijbehorende bankbetalingen. Investeringen activeren; btw-aftrek expliciet bevestigen.</x:v>
      </x:c>
      <x:c r="I3" s="5" t="str">
        <x:v>Kosten uit facturen/bonnen, geen extra optelling van bijbehorende bankbetalingen. Investeringen activeren; btw-aftrek expliciet bevestigen.</x:v>
      </x:c>
      <x:c r="J3" s="5" t="str">
        <x:v>Kosten uit facturen/bonnen, geen extra optelling van bijbehorende bankbetalingen. Investeringen activeren; btw-aftrek expliciet bevestigen.</x:v>
      </x:c>
      <x:c r="K3" s="5" t="str">
        <x:v>Kosten uit facturen/bonnen, geen extra optelling van bijbehorende bankbetalingen. Investeringen activeren; btw-aftrek expliciet bevestigen.</x:v>
      </x:c>
      <x:c r="L3" s="5" t="str">
        <x:v>Kosten uit facturen/bonnen, geen extra optelling van bijbehorende bankbetalingen. Investeringen activeren; btw-aftrek expliciet bevestigen.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id</x:v>
      </x:c>
      <x:c r="B5" s="8" t="str">
        <x:v>date</x:v>
      </x:c>
      <x:c r="C5" s="8" t="str">
        <x:v>supplier</x:v>
      </x:c>
      <x:c r="D5" s="8" t="str">
        <x:v>project_id</x:v>
      </x:c>
      <x:c r="E5" s="8" t="str">
        <x:v>category</x:v>
      </x:c>
      <x:c r="F5" s="8" t="str">
        <x:v>amount_excl</x:v>
      </x:c>
      <x:c r="G5" s="8" t="str">
        <x:v>vat_deductible</x:v>
      </x:c>
      <x:c r="H5" s="8" t="str">
        <x:v>amount_incl</x:v>
      </x:c>
      <x:c r="I5" s="8" t="str">
        <x:v>paid</x:v>
      </x:c>
      <x:c r="J5" s="8" t="str">
        <x:v>due_date</x:v>
      </x:c>
      <x:c r="K5" s="8" t="str">
        <x:v>deductible</x:v>
      </x:c>
      <x:c r="L5" s="8" t="str">
        <x:v>capital_asset</x:v>
      </x:c>
      <x:c r="M5" s="8" t="str">
        <x:v>vat_treatment</x:v>
      </x:c>
      <x:c r="N5" s="8" t="str">
        <x:v>open</x:v>
      </x:c>
      <x:c r="O5" s="8" t="str">
        <x:v>valid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/>
      <x:c r="B6" s="13"/>
      <x:c r="C6" s="2"/>
      <x:c r="D6" s="2"/>
      <x:c r="E6" s="2"/>
      <x:c r="F6" s="12"/>
      <x:c r="G6" s="12"/>
      <x:c r="H6" s="12"/>
      <x:c r="I6" s="12"/>
      <x:c r="J6" s="2"/>
      <x:c r="K6" s="2"/>
      <x:c r="L6" s="2"/>
      <x:c r="M6" s="2"/>
      <x:c r="N6" s="2" t="str">
        <x:f>IF(A6="","",IF(COUNT(H6:I6)&lt;2,"n.b.",MAX(0,H6-I6)))</x:f>
      </x:c>
      <x:c r="O6" s="2" t="n">
        <x:f>IF(A6="",0,IF(AND(ISNUMBER(B6),COUNT(F6:I6)=4,OR(K6="yes",K6="no"),OR(L6="yes",L6="no"),M6&lt;&gt;"unknown",M6&lt;&gt;""),1,0))</x:f>
        <x:v>0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/>
      <x:c r="B7" s="13"/>
      <x:c r="C7" s="2"/>
      <x:c r="D7" s="2"/>
      <x:c r="E7" s="2"/>
      <x:c r="F7" s="12"/>
      <x:c r="G7" s="12"/>
      <x:c r="H7" s="12"/>
      <x:c r="I7" s="1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/>
      <x:c r="B8" s="13"/>
      <x:c r="C8" s="2"/>
      <x:c r="D8" s="2"/>
      <x:c r="E8" s="2"/>
      <x:c r="F8" s="12"/>
      <x:c r="G8" s="12"/>
      <x:c r="H8" s="12"/>
      <x:c r="I8" s="1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/>
      <x:c r="B9" s="13"/>
      <x:c r="C9" s="2"/>
      <x:c r="D9" s="2"/>
      <x:c r="E9" s="2"/>
      <x:c r="F9" s="12"/>
      <x:c r="G9" s="12"/>
      <x:c r="H9" s="12"/>
      <x:c r="I9" s="1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/>
      <x:c r="B10" s="13"/>
      <x:c r="C10" s="2"/>
      <x:c r="D10" s="2"/>
      <x:c r="E10" s="2"/>
      <x:c r="F10" s="12"/>
      <x:c r="G10" s="12"/>
      <x:c r="H10" s="12"/>
      <x:c r="I10" s="1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/>
      <x:c r="B11" s="13"/>
      <x:c r="C11" s="2"/>
      <x:c r="D11" s="2"/>
      <x:c r="E11" s="2"/>
      <x:c r="F11" s="12"/>
      <x:c r="G11" s="12"/>
      <x:c r="H11" s="12"/>
      <x:c r="I11" s="1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/>
      <x:c r="B12" s="13"/>
      <x:c r="C12" s="2"/>
      <x:c r="D12" s="2"/>
      <x:c r="E12" s="2"/>
      <x:c r="F12" s="12"/>
      <x:c r="G12" s="12"/>
      <x:c r="H12" s="12"/>
      <x:c r="I12" s="1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/>
      <x:c r="B13" s="13"/>
      <x:c r="C13" s="2"/>
      <x:c r="D13" s="2"/>
      <x:c r="E13" s="2"/>
      <x:c r="F13" s="12"/>
      <x:c r="G13" s="12"/>
      <x:c r="H13" s="12"/>
      <x:c r="I13" s="1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/>
      <x:c r="B14" s="13"/>
      <x:c r="C14" s="2"/>
      <x:c r="D14" s="2"/>
      <x:c r="E14" s="2"/>
      <x:c r="F14" s="12"/>
      <x:c r="G14" s="12"/>
      <x:c r="H14" s="12"/>
      <x:c r="I14" s="1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/>
      <x:c r="B15" s="13"/>
      <x:c r="C15" s="2"/>
      <x:c r="D15" s="2"/>
      <x:c r="E15" s="2"/>
      <x:c r="F15" s="12"/>
      <x:c r="G15" s="12"/>
      <x:c r="H15" s="12"/>
      <x:c r="I15" s="1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/>
      <x:c r="B16" s="13"/>
      <x:c r="C16" s="2"/>
      <x:c r="D16" s="2"/>
      <x:c r="E16" s="2"/>
      <x:c r="F16" s="12"/>
      <x:c r="G16" s="12"/>
      <x:c r="H16" s="12"/>
      <x:c r="I16" s="1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13"/>
      <x:c r="C17" s="2"/>
      <x:c r="D17" s="2"/>
      <x:c r="E17" s="2"/>
      <x:c r="F17" s="12"/>
      <x:c r="G17" s="12"/>
      <x:c r="H17" s="12"/>
      <x:c r="I17" s="1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13"/>
      <x:c r="C18" s="2"/>
      <x:c r="D18" s="2"/>
      <x:c r="E18" s="2"/>
      <x:c r="F18" s="12"/>
      <x:c r="G18" s="12"/>
      <x:c r="H18" s="12"/>
      <x:c r="I18" s="1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/>
      <x:c r="B19" s="13"/>
      <x:c r="C19" s="2"/>
      <x:c r="D19" s="2"/>
      <x:c r="E19" s="2"/>
      <x:c r="F19" s="12"/>
      <x:c r="G19" s="12"/>
      <x:c r="H19" s="12"/>
      <x:c r="I19" s="1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13"/>
      <x:c r="C20" s="2"/>
      <x:c r="D20" s="2"/>
      <x:c r="E20" s="2"/>
      <x:c r="F20" s="12"/>
      <x:c r="G20" s="12"/>
      <x:c r="H20" s="12"/>
      <x:c r="I20" s="1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13"/>
      <x:c r="C21" s="2"/>
      <x:c r="D21" s="2"/>
      <x:c r="E21" s="2"/>
      <x:c r="F21" s="12"/>
      <x:c r="G21" s="12"/>
      <x:c r="H21" s="12"/>
      <x:c r="I21" s="1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13"/>
      <x:c r="C22" s="2"/>
      <x:c r="D22" s="2"/>
      <x:c r="E22" s="2"/>
      <x:c r="F22" s="12"/>
      <x:c r="G22" s="12"/>
      <x:c r="H22" s="12"/>
      <x:c r="I22" s="1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13"/>
      <x:c r="C23" s="2"/>
      <x:c r="D23" s="2"/>
      <x:c r="E23" s="2"/>
      <x:c r="F23" s="12"/>
      <x:c r="G23" s="12"/>
      <x:c r="H23" s="12"/>
      <x:c r="I23" s="1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13"/>
      <x:c r="C24" s="2"/>
      <x:c r="D24" s="2"/>
      <x:c r="E24" s="2"/>
      <x:c r="F24" s="12"/>
      <x:c r="G24" s="12"/>
      <x:c r="H24" s="12"/>
      <x:c r="I24" s="1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13"/>
      <x:c r="C25" s="2"/>
      <x:c r="D25" s="2"/>
      <x:c r="E25" s="2"/>
      <x:c r="F25" s="12"/>
      <x:c r="G25" s="12"/>
      <x:c r="H25" s="12"/>
      <x:c r="I25" s="1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13"/>
      <x:c r="C26" s="2"/>
      <x:c r="D26" s="2"/>
      <x:c r="E26" s="2"/>
      <x:c r="F26" s="12"/>
      <x:c r="G26" s="12"/>
      <x:c r="H26" s="12"/>
      <x:c r="I26" s="1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13"/>
      <x:c r="C27" s="2"/>
      <x:c r="D27" s="2"/>
      <x:c r="E27" s="2"/>
      <x:c r="F27" s="12"/>
      <x:c r="G27" s="12"/>
      <x:c r="H27" s="12"/>
      <x:c r="I27" s="1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13"/>
      <x:c r="C28" s="2"/>
      <x:c r="D28" s="2"/>
      <x:c r="E28" s="2"/>
      <x:c r="F28" s="12"/>
      <x:c r="G28" s="12"/>
      <x:c r="H28" s="12"/>
      <x:c r="I28" s="1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13"/>
      <x:c r="C29" s="2"/>
      <x:c r="D29" s="2"/>
      <x:c r="E29" s="2"/>
      <x:c r="F29" s="12"/>
      <x:c r="G29" s="12"/>
      <x:c r="H29" s="12"/>
      <x:c r="I29" s="1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13"/>
      <x:c r="C30" s="2"/>
      <x:c r="D30" s="2"/>
      <x:c r="E30" s="2"/>
      <x:c r="F30" s="12"/>
      <x:c r="G30" s="12"/>
      <x:c r="H30" s="12"/>
      <x:c r="I30" s="1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13"/>
      <x:c r="C31" s="2"/>
      <x:c r="D31" s="2"/>
      <x:c r="E31" s="2"/>
      <x:c r="F31" s="12"/>
      <x:c r="G31" s="12"/>
      <x:c r="H31" s="12"/>
      <x:c r="I31" s="1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13"/>
      <x:c r="C32" s="2"/>
      <x:c r="D32" s="2"/>
      <x:c r="E32" s="2"/>
      <x:c r="F32" s="12"/>
      <x:c r="G32" s="12"/>
      <x:c r="H32" s="12"/>
      <x:c r="I32" s="1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13"/>
      <x:c r="C33" s="2"/>
      <x:c r="D33" s="2"/>
      <x:c r="E33" s="2"/>
      <x:c r="F33" s="12"/>
      <x:c r="G33" s="12"/>
      <x:c r="H33" s="12"/>
      <x:c r="I33" s="1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13"/>
      <x:c r="C34" s="2"/>
      <x:c r="D34" s="2"/>
      <x:c r="E34" s="2"/>
      <x:c r="F34" s="12"/>
      <x:c r="G34" s="12"/>
      <x:c r="H34" s="12"/>
      <x:c r="I34" s="1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13"/>
      <x:c r="C35" s="2"/>
      <x:c r="D35" s="2"/>
      <x:c r="E35" s="2"/>
      <x:c r="F35" s="12"/>
      <x:c r="G35" s="12"/>
      <x:c r="H35" s="12"/>
      <x:c r="I35" s="1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13"/>
      <x:c r="C36" s="2"/>
      <x:c r="D36" s="2"/>
      <x:c r="E36" s="2"/>
      <x:c r="F36" s="12"/>
      <x:c r="G36" s="12"/>
      <x:c r="H36" s="12"/>
      <x:c r="I36" s="1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13"/>
      <x:c r="C37" s="2"/>
      <x:c r="D37" s="2"/>
      <x:c r="E37" s="2"/>
      <x:c r="F37" s="12"/>
      <x:c r="G37" s="12"/>
      <x:c r="H37" s="12"/>
      <x:c r="I37" s="1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13"/>
      <x:c r="C38" s="2"/>
      <x:c r="D38" s="2"/>
      <x:c r="E38" s="2"/>
      <x:c r="F38" s="12"/>
      <x:c r="G38" s="12"/>
      <x:c r="H38" s="12"/>
      <x:c r="I38" s="1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13"/>
      <x:c r="C39" s="2"/>
      <x:c r="D39" s="2"/>
      <x:c r="E39" s="2"/>
      <x:c r="F39" s="12"/>
      <x:c r="G39" s="12"/>
      <x:c r="H39" s="12"/>
      <x:c r="I39" s="1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13"/>
      <x:c r="C40" s="2"/>
      <x:c r="D40" s="2"/>
      <x:c r="E40" s="2"/>
      <x:c r="F40" s="12"/>
      <x:c r="G40" s="12"/>
      <x:c r="H40" s="12"/>
      <x:c r="I40" s="1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13"/>
      <x:c r="C41" s="2"/>
      <x:c r="D41" s="2"/>
      <x:c r="E41" s="2"/>
      <x:c r="F41" s="12"/>
      <x:c r="G41" s="12"/>
      <x:c r="H41" s="12"/>
      <x:c r="I41" s="1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13"/>
      <x:c r="C42" s="2"/>
      <x:c r="D42" s="2"/>
      <x:c r="E42" s="2"/>
      <x:c r="F42" s="12"/>
      <x:c r="G42" s="12"/>
      <x:c r="H42" s="12"/>
      <x:c r="I42" s="1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13"/>
      <x:c r="C43" s="2"/>
      <x:c r="D43" s="2"/>
      <x:c r="E43" s="2"/>
      <x:c r="F43" s="12"/>
      <x:c r="G43" s="12"/>
      <x:c r="H43" s="12"/>
      <x:c r="I43" s="1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13"/>
      <x:c r="C44" s="2"/>
      <x:c r="D44" s="2"/>
      <x:c r="E44" s="2"/>
      <x:c r="F44" s="12"/>
      <x:c r="G44" s="12"/>
      <x:c r="H44" s="12"/>
      <x:c r="I44" s="1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13"/>
      <x:c r="C45" s="2"/>
      <x:c r="D45" s="2"/>
      <x:c r="E45" s="2"/>
      <x:c r="F45" s="12"/>
      <x:c r="G45" s="12"/>
      <x:c r="H45" s="12"/>
      <x:c r="I45" s="1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13"/>
      <x:c r="C46" s="2"/>
      <x:c r="D46" s="2"/>
      <x:c r="E46" s="2"/>
      <x:c r="F46" s="12"/>
      <x:c r="G46" s="12"/>
      <x:c r="H46" s="12"/>
      <x:c r="I46" s="1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13"/>
      <x:c r="C47" s="2"/>
      <x:c r="D47" s="2"/>
      <x:c r="E47" s="2"/>
      <x:c r="F47" s="12"/>
      <x:c r="G47" s="12"/>
      <x:c r="H47" s="12"/>
      <x:c r="I47" s="1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13"/>
      <x:c r="C48" s="2"/>
      <x:c r="D48" s="2"/>
      <x:c r="E48" s="2"/>
      <x:c r="F48" s="12"/>
      <x:c r="G48" s="12"/>
      <x:c r="H48" s="12"/>
      <x:c r="I48" s="1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13"/>
      <x:c r="C49" s="2"/>
      <x:c r="D49" s="2"/>
      <x:c r="E49" s="2"/>
      <x:c r="F49" s="12"/>
      <x:c r="G49" s="12"/>
      <x:c r="H49" s="12"/>
      <x:c r="I49" s="1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13"/>
      <x:c r="C50" s="2"/>
      <x:c r="D50" s="2"/>
      <x:c r="E50" s="2"/>
      <x:c r="F50" s="12"/>
      <x:c r="G50" s="12"/>
      <x:c r="H50" s="12"/>
      <x:c r="I50" s="1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13"/>
      <x:c r="C51" s="2"/>
      <x:c r="D51" s="2"/>
      <x:c r="E51" s="2"/>
      <x:c r="F51" s="12"/>
      <x:c r="G51" s="12"/>
      <x:c r="H51" s="12"/>
      <x:c r="I51" s="1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13"/>
      <x:c r="C52" s="2"/>
      <x:c r="D52" s="2"/>
      <x:c r="E52" s="2"/>
      <x:c r="F52" s="12"/>
      <x:c r="G52" s="12"/>
      <x:c r="H52" s="12"/>
      <x:c r="I52" s="1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13"/>
      <x:c r="C53" s="2"/>
      <x:c r="D53" s="2"/>
      <x:c r="E53" s="2"/>
      <x:c r="F53" s="12"/>
      <x:c r="G53" s="12"/>
      <x:c r="H53" s="12"/>
      <x:c r="I53" s="1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13"/>
      <x:c r="C54" s="2"/>
      <x:c r="D54" s="2"/>
      <x:c r="E54" s="2"/>
      <x:c r="F54" s="12"/>
      <x:c r="G54" s="12"/>
      <x:c r="H54" s="12"/>
      <x:c r="I54" s="1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13"/>
      <x:c r="C55" s="2"/>
      <x:c r="D55" s="2"/>
      <x:c r="E55" s="2"/>
      <x:c r="F55" s="12"/>
      <x:c r="G55" s="12"/>
      <x:c r="H55" s="12"/>
      <x:c r="I55" s="1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13"/>
      <x:c r="C56" s="2"/>
      <x:c r="D56" s="2"/>
      <x:c r="E56" s="2"/>
      <x:c r="F56" s="12"/>
      <x:c r="G56" s="12"/>
      <x:c r="H56" s="12"/>
      <x:c r="I56" s="1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13"/>
      <x:c r="C57" s="2"/>
      <x:c r="D57" s="2"/>
      <x:c r="E57" s="2"/>
      <x:c r="F57" s="12"/>
      <x:c r="G57" s="12"/>
      <x:c r="H57" s="12"/>
      <x:c r="I57" s="1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13"/>
      <x:c r="C58" s="2"/>
      <x:c r="D58" s="2"/>
      <x:c r="E58" s="2"/>
      <x:c r="F58" s="12"/>
      <x:c r="G58" s="12"/>
      <x:c r="H58" s="12"/>
      <x:c r="I58" s="1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13"/>
      <x:c r="C59" s="2"/>
      <x:c r="D59" s="2"/>
      <x:c r="E59" s="2"/>
      <x:c r="F59" s="12"/>
      <x:c r="G59" s="12"/>
      <x:c r="H59" s="12"/>
      <x:c r="I59" s="1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13"/>
      <x:c r="C60" s="2"/>
      <x:c r="D60" s="2"/>
      <x:c r="E60" s="2"/>
      <x:c r="F60" s="12"/>
      <x:c r="G60" s="12"/>
      <x:c r="H60" s="12"/>
      <x:c r="I60" s="1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13"/>
      <x:c r="C61" s="2"/>
      <x:c r="D61" s="2"/>
      <x:c r="E61" s="2"/>
      <x:c r="F61" s="12"/>
      <x:c r="G61" s="12"/>
      <x:c r="H61" s="12"/>
      <x:c r="I61" s="1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13"/>
      <x:c r="C62" s="2"/>
      <x:c r="D62" s="2"/>
      <x:c r="E62" s="2"/>
      <x:c r="F62" s="12"/>
      <x:c r="G62" s="12"/>
      <x:c r="H62" s="12"/>
      <x:c r="I62" s="1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13"/>
      <x:c r="C63" s="2"/>
      <x:c r="D63" s="2"/>
      <x:c r="E63" s="2"/>
      <x:c r="F63" s="12"/>
      <x:c r="G63" s="12"/>
      <x:c r="H63" s="12"/>
      <x:c r="I63" s="1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13"/>
      <x:c r="C64" s="2"/>
      <x:c r="D64" s="2"/>
      <x:c r="E64" s="2"/>
      <x:c r="F64" s="12"/>
      <x:c r="G64" s="12"/>
      <x:c r="H64" s="12"/>
      <x:c r="I64" s="1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13"/>
      <x:c r="C65" s="2"/>
      <x:c r="D65" s="2"/>
      <x:c r="E65" s="2"/>
      <x:c r="F65" s="12"/>
      <x:c r="G65" s="12"/>
      <x:c r="H65" s="12"/>
      <x:c r="I65" s="1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13"/>
      <x:c r="C66" s="2"/>
      <x:c r="D66" s="2"/>
      <x:c r="E66" s="2"/>
      <x:c r="F66" s="12"/>
      <x:c r="G66" s="12"/>
      <x:c r="H66" s="12"/>
      <x:c r="I66" s="1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13"/>
      <x:c r="C67" s="2"/>
      <x:c r="D67" s="2"/>
      <x:c r="E67" s="2"/>
      <x:c r="F67" s="12"/>
      <x:c r="G67" s="12"/>
      <x:c r="H67" s="12"/>
      <x:c r="I67" s="1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13"/>
      <x:c r="C68" s="2"/>
      <x:c r="D68" s="2"/>
      <x:c r="E68" s="2"/>
      <x:c r="F68" s="12"/>
      <x:c r="G68" s="12"/>
      <x:c r="H68" s="12"/>
      <x:c r="I68" s="1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13"/>
      <x:c r="C69" s="2"/>
      <x:c r="D69" s="2"/>
      <x:c r="E69" s="2"/>
      <x:c r="F69" s="12"/>
      <x:c r="G69" s="12"/>
      <x:c r="H69" s="12"/>
      <x:c r="I69" s="1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13"/>
      <x:c r="C70" s="2"/>
      <x:c r="D70" s="2"/>
      <x:c r="E70" s="2"/>
      <x:c r="F70" s="12"/>
      <x:c r="G70" s="12"/>
      <x:c r="H70" s="12"/>
      <x:c r="I70" s="1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13"/>
      <x:c r="C71" s="2"/>
      <x:c r="D71" s="2"/>
      <x:c r="E71" s="2"/>
      <x:c r="F71" s="12"/>
      <x:c r="G71" s="12"/>
      <x:c r="H71" s="12"/>
      <x:c r="I71" s="1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13"/>
      <x:c r="C72" s="2"/>
      <x:c r="D72" s="2"/>
      <x:c r="E72" s="2"/>
      <x:c r="F72" s="12"/>
      <x:c r="G72" s="12"/>
      <x:c r="H72" s="12"/>
      <x:c r="I72" s="1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13"/>
      <x:c r="C73" s="2"/>
      <x:c r="D73" s="2"/>
      <x:c r="E73" s="2"/>
      <x:c r="F73" s="12"/>
      <x:c r="G73" s="12"/>
      <x:c r="H73" s="12"/>
      <x:c r="I73" s="1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13"/>
      <x:c r="C74" s="2"/>
      <x:c r="D74" s="2"/>
      <x:c r="E74" s="2"/>
      <x:c r="F74" s="12"/>
      <x:c r="G74" s="12"/>
      <x:c r="H74" s="12"/>
      <x:c r="I74" s="1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13"/>
      <x:c r="C75" s="2"/>
      <x:c r="D75" s="2"/>
      <x:c r="E75" s="2"/>
      <x:c r="F75" s="12"/>
      <x:c r="G75" s="12"/>
      <x:c r="H75" s="12"/>
      <x:c r="I75" s="1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13"/>
      <x:c r="C76" s="2"/>
      <x:c r="D76" s="2"/>
      <x:c r="E76" s="2"/>
      <x:c r="F76" s="12"/>
      <x:c r="G76" s="12"/>
      <x:c r="H76" s="12"/>
      <x:c r="I76" s="1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13"/>
      <x:c r="C77" s="2"/>
      <x:c r="D77" s="2"/>
      <x:c r="E77" s="2"/>
      <x:c r="F77" s="12"/>
      <x:c r="G77" s="12"/>
      <x:c r="H77" s="12"/>
      <x:c r="I77" s="1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13"/>
      <x:c r="C78" s="2"/>
      <x:c r="D78" s="2"/>
      <x:c r="E78" s="2"/>
      <x:c r="F78" s="12"/>
      <x:c r="G78" s="12"/>
      <x:c r="H78" s="12"/>
      <x:c r="I78" s="1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13"/>
      <x:c r="C79" s="2"/>
      <x:c r="D79" s="2"/>
      <x:c r="E79" s="2"/>
      <x:c r="F79" s="12"/>
      <x:c r="G79" s="12"/>
      <x:c r="H79" s="12"/>
      <x:c r="I79" s="1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13"/>
      <x:c r="C80" s="2"/>
      <x:c r="D80" s="2"/>
      <x:c r="E80" s="2"/>
      <x:c r="F80" s="12"/>
      <x:c r="G80" s="12"/>
      <x:c r="H80" s="12"/>
      <x:c r="I80" s="1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13"/>
      <x:c r="C81" s="2"/>
      <x:c r="D81" s="2"/>
      <x:c r="E81" s="2"/>
      <x:c r="F81" s="12"/>
      <x:c r="G81" s="12"/>
      <x:c r="H81" s="12"/>
      <x:c r="I81" s="1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13"/>
      <x:c r="C82" s="2"/>
      <x:c r="D82" s="2"/>
      <x:c r="E82" s="2"/>
      <x:c r="F82" s="12"/>
      <x:c r="G82" s="12"/>
      <x:c r="H82" s="12"/>
      <x:c r="I82" s="1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13"/>
      <x:c r="C83" s="2"/>
      <x:c r="D83" s="2"/>
      <x:c r="E83" s="2"/>
      <x:c r="F83" s="12"/>
      <x:c r="G83" s="12"/>
      <x:c r="H83" s="12"/>
      <x:c r="I83" s="1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13"/>
      <x:c r="C84" s="2"/>
      <x:c r="D84" s="2"/>
      <x:c r="E84" s="2"/>
      <x:c r="F84" s="12"/>
      <x:c r="G84" s="12"/>
      <x:c r="H84" s="12"/>
      <x:c r="I84" s="1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13"/>
      <x:c r="C85" s="2"/>
      <x:c r="D85" s="2"/>
      <x:c r="E85" s="2"/>
      <x:c r="F85" s="12"/>
      <x:c r="G85" s="12"/>
      <x:c r="H85" s="12"/>
      <x:c r="I85" s="1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13"/>
      <x:c r="C86" s="2"/>
      <x:c r="D86" s="2"/>
      <x:c r="E86" s="2"/>
      <x:c r="F86" s="12"/>
      <x:c r="G86" s="12"/>
      <x:c r="H86" s="12"/>
      <x:c r="I86" s="1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13"/>
      <x:c r="C87" s="2"/>
      <x:c r="D87" s="2"/>
      <x:c r="E87" s="2"/>
      <x:c r="F87" s="12"/>
      <x:c r="G87" s="12"/>
      <x:c r="H87" s="12"/>
      <x:c r="I87" s="1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13"/>
      <x:c r="C88" s="2"/>
      <x:c r="D88" s="2"/>
      <x:c r="E88" s="2"/>
      <x:c r="F88" s="12"/>
      <x:c r="G88" s="12"/>
      <x:c r="H88" s="12"/>
      <x:c r="I88" s="1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13"/>
      <x:c r="C89" s="2"/>
      <x:c r="D89" s="2"/>
      <x:c r="E89" s="2"/>
      <x:c r="F89" s="12"/>
      <x:c r="G89" s="12"/>
      <x:c r="H89" s="12"/>
      <x:c r="I89" s="1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13"/>
      <x:c r="C90" s="2"/>
      <x:c r="D90" s="2"/>
      <x:c r="E90" s="2"/>
      <x:c r="F90" s="12"/>
      <x:c r="G90" s="12"/>
      <x:c r="H90" s="12"/>
      <x:c r="I90" s="1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N2:P2"/>
  </x:mergeCells>
  <x:pageMargins left="0.7" right="0.7" top="0.75" bottom="0.75" header="0.3" footer="0.3"/>
  <x:tableParts count="1">
    <x:tablePart xmlns:r="http://schemas.openxmlformats.org/officeDocument/2006/relationships" r:id="R7773918c827841ce"/>
  </x:tableParts>
</x:worksheet>
</file>

<file path=xl/worksheets/sheet6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Projectresultaat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Vul project-ID en werkelijke uren in. Gedeelde kosten worden alleen op expliciete projecttoewijzing meegenomen.</x:v>
      </x:c>
      <x:c r="B3" s="5" t="str">
        <x:v>Vul project-ID en werkelijke uren in. Gedeelde kosten worden alleen op expliciete projecttoewijzing meegenomen.</x:v>
      </x:c>
      <x:c r="C3" s="5" t="str">
        <x:v>Vul project-ID en werkelijke uren in. Gedeelde kosten worden alleen op expliciete projecttoewijzing meegenomen.</x:v>
      </x:c>
      <x:c r="D3" s="5" t="str">
        <x:v>Vul project-ID en werkelijke uren in. Gedeelde kosten worden alleen op expliciete projecttoewijzing meegenomen.</x:v>
      </x:c>
      <x:c r="E3" s="5" t="str">
        <x:v>Vul project-ID en werkelijke uren in. Gedeelde kosten worden alleen op expliciete projecttoewijzing meegenomen.</x:v>
      </x:c>
      <x:c r="F3" s="5" t="str">
        <x:v>Vul project-ID en werkelijke uren in. Gedeelde kosten worden alleen op expliciete projecttoewijzing meegenomen.</x:v>
      </x:c>
      <x:c r="G3" s="5" t="str">
        <x:v>Vul project-ID en werkelijke uren in. Gedeelde kosten worden alleen op expliciete projecttoewijzing meegenomen.</x:v>
      </x:c>
      <x:c r="H3" s="5" t="str">
        <x:v>Vul project-ID en werkelijke uren in. Gedeelde kosten worden alleen op expliciete projecttoewijzing meegenomen.</x:v>
      </x:c>
      <x:c r="I3" s="5" t="str">
        <x:v>Vul project-ID en werkelijke uren in. Gedeelde kosten worden alleen op expliciete projecttoewijzing meegenomen.</x:v>
      </x:c>
      <x:c r="J3" s="5" t="str">
        <x:v>Vul project-ID en werkelijke uren in. Gedeelde kosten worden alleen op expliciete projecttoewijzing meegenomen.</x:v>
      </x:c>
      <x:c r="K3" s="5" t="str">
        <x:v>Vul project-ID en werkelijke uren in. Gedeelde kosten worden alleen op expliciete projecttoewijzing meegenomen.</x:v>
      </x:c>
      <x:c r="L3" s="5" t="str">
        <x:v>Vul project-ID en werkelijke uren in. Gedeelde kosten worden alleen op expliciete projecttoewijzing meegenomen.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project_id</x:v>
      </x:c>
      <x:c r="B5" s="8" t="str">
        <x:v>Klant</x:v>
      </x:c>
      <x:c r="C5" s="8" t="str">
        <x:v>Omschrijving</x:v>
      </x:c>
      <x:c r="D5" s="8" t="str">
        <x:v>Offerte excl.</x:v>
      </x:c>
      <x:c r="E5" s="8" t="str">
        <x:v>Begrote uren</x:v>
      </x:c>
      <x:c r="F5" s="8" t="str">
        <x:v>Werkelijke uren</x:v>
      </x:c>
      <x:c r="G5" s="8" t="str">
        <x:v>Omzet excl.</x:v>
      </x:c>
      <x:c r="H5" s="8" t="str">
        <x:v>Materiaalkosten</x:v>
      </x:c>
      <x:c r="I5" s="8" t="str">
        <x:v>Overige kosten</x:v>
      </x:c>
      <x:c r="J5" s="8" t="str">
        <x:v>Brutowinst</x:v>
      </x:c>
      <x:c r="K5" s="8" t="str">
        <x:v>Marge</x:v>
      </x:c>
      <x:c r="L5" s="8" t="str">
        <x:v>Winst per uur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/>
      <x:c r="B6" s="2"/>
      <x:c r="C6" s="2"/>
      <x:c r="D6" s="2"/>
      <x:c r="E6" s="2"/>
      <x:c r="F6" s="2"/>
      <x:c r="G6" s="2" t="str">
        <x:f>IF(A6="","",IF('Settings &amp; Assumptions'!$G$14&lt;&gt;1,"n.b.",SUMIFS(Invoices[amount_excl],Invoices[project_id],A6,Invoices[status],"&lt;&gt;concept",Invoices[status],"&lt;&gt;geannuleerd")))</x:f>
      </x:c>
      <x:c r="H6" s="2" t="str">
        <x:f>IF(A6="","",IF('Settings &amp; Assumptions'!$G$15&lt;&gt;1,"n.b.",SUMIFS(Expenses[amount_excl],Expenses[project_id],A6,Expenses[category],"materiaal",Expenses[capital_asset],"no")))</x:f>
      </x:c>
      <x:c r="I6" s="2" t="str">
        <x:f>IF(A6="","",IF('Settings &amp; Assumptions'!$G$15&lt;&gt;1,"n.b.",SUMIFS(Expenses[amount_excl],Expenses[project_id],A6,Expenses[category],"&lt;&gt;materiaal",Expenses[capital_asset],"no")))</x:f>
      </x:c>
      <x:c r="J6" s="2" t="str">
        <x:f>IF(A6="","",IF(COUNT(G6:I6)&lt;3,"n.b.",G6-H6-I6))</x:f>
      </x:c>
      <x:c r="K6" s="15" t="str">
        <x:f>IF(A6="","",IF(OR(NOT(ISNUMBER(J6)),G6=0),"n.b.",J6/G6))</x:f>
      </x:c>
      <x:c r="L6" s="2" t="str">
        <x:f>IF(A6="","",IF(OR(NOT(ISNUMBER(J6)),F6&lt;=0),"n.b.",J6/F6))</x:f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/>
      <x:c r="B7" s="2"/>
      <x:c r="C7" s="2"/>
      <x:c r="D7" s="2"/>
      <x:c r="E7" s="2"/>
      <x:c r="F7" s="2"/>
      <x:c r="G7" s="2" t="str">
        <x:f>IF(A7="","",IF('Settings &amp; Assumptions'!$G$14&lt;&gt;1,"n.b.",SUMIFS(Invoices[amount_excl],Invoices[project_id],A7,Invoices[status],"&lt;&gt;concept",Invoices[status],"&lt;&gt;geannuleerd")))</x:f>
      </x:c>
      <x:c r="H7" s="2" t="str">
        <x:f>IF(A7="","",IF('Settings &amp; Assumptions'!$G$15&lt;&gt;1,"n.b.",SUMIFS(Expenses[amount_excl],Expenses[project_id],A7,Expenses[category],"materiaal",Expenses[capital_asset],"no")))</x:f>
      </x:c>
      <x:c r="I7" s="2" t="str">
        <x:f>IF(A7="","",IF('Settings &amp; Assumptions'!$G$15&lt;&gt;1,"n.b.",SUMIFS(Expenses[amount_excl],Expenses[project_id],A7,Expenses[category],"&lt;&gt;materiaal",Expenses[capital_asset],"no")))</x:f>
      </x:c>
      <x:c r="J7" s="2" t="str">
        <x:f>IF(A7="","",IF(COUNT(G7:I7)&lt;3,"n.b.",G7-H7-I7))</x:f>
      </x:c>
      <x:c r="K7" s="15" t="str">
        <x:f>IF(A7="","",IF(OR(NOT(ISNUMBER(J7)),G7=0),"n.b.",J7/G7))</x:f>
      </x:c>
      <x:c r="L7" s="2" t="str">
        <x:f>IF(A7="","",IF(OR(NOT(ISNUMBER(J7)),F7&lt;=0),"n.b.",J7/F7))</x:f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/>
      <x:c r="B8" s="2"/>
      <x:c r="C8" s="2"/>
      <x:c r="D8" s="2"/>
      <x:c r="E8" s="2"/>
      <x:c r="F8" s="2"/>
      <x:c r="G8" s="2" t="str">
        <x:f>IF(A8="","",IF('Settings &amp; Assumptions'!$G$14&lt;&gt;1,"n.b.",SUMIFS(Invoices[amount_excl],Invoices[project_id],A8,Invoices[status],"&lt;&gt;concept",Invoices[status],"&lt;&gt;geannuleerd")))</x:f>
      </x:c>
      <x:c r="H8" s="2" t="str">
        <x:f>IF(A8="","",IF('Settings &amp; Assumptions'!$G$15&lt;&gt;1,"n.b.",SUMIFS(Expenses[amount_excl],Expenses[project_id],A8,Expenses[category],"materiaal",Expenses[capital_asset],"no")))</x:f>
      </x:c>
      <x:c r="I8" s="2" t="str">
        <x:f>IF(A8="","",IF('Settings &amp; Assumptions'!$G$15&lt;&gt;1,"n.b.",SUMIFS(Expenses[amount_excl],Expenses[project_id],A8,Expenses[category],"&lt;&gt;materiaal",Expenses[capital_asset],"no")))</x:f>
      </x:c>
      <x:c r="J8" s="2" t="str">
        <x:f>IF(A8="","",IF(COUNT(G8:I8)&lt;3,"n.b.",G8-H8-I8))</x:f>
      </x:c>
      <x:c r="K8" s="15" t="str">
        <x:f>IF(A8="","",IF(OR(NOT(ISNUMBER(J8)),G8=0),"n.b.",J8/G8))</x:f>
      </x:c>
      <x:c r="L8" s="2" t="str">
        <x:f>IF(A8="","",IF(OR(NOT(ISNUMBER(J8)),F8&lt;=0),"n.b.",J8/F8))</x:f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/>
      <x:c r="B9" s="2"/>
      <x:c r="C9" s="2"/>
      <x:c r="D9" s="2"/>
      <x:c r="E9" s="2"/>
      <x:c r="F9" s="2"/>
      <x:c r="G9" s="2" t="str">
        <x:f>IF(A9="","",IF('Settings &amp; Assumptions'!$G$14&lt;&gt;1,"n.b.",SUMIFS(Invoices[amount_excl],Invoices[project_id],A9,Invoices[status],"&lt;&gt;concept",Invoices[status],"&lt;&gt;geannuleerd")))</x:f>
      </x:c>
      <x:c r="H9" s="2" t="str">
        <x:f>IF(A9="","",IF('Settings &amp; Assumptions'!$G$15&lt;&gt;1,"n.b.",SUMIFS(Expenses[amount_excl],Expenses[project_id],A9,Expenses[category],"materiaal",Expenses[capital_asset],"no")))</x:f>
      </x:c>
      <x:c r="I9" s="2" t="str">
        <x:f>IF(A9="","",IF('Settings &amp; Assumptions'!$G$15&lt;&gt;1,"n.b.",SUMIFS(Expenses[amount_excl],Expenses[project_id],A9,Expenses[category],"&lt;&gt;materiaal",Expenses[capital_asset],"no")))</x:f>
      </x:c>
      <x:c r="J9" s="2" t="str">
        <x:f>IF(A9="","",IF(COUNT(G9:I9)&lt;3,"n.b.",G9-H9-I9))</x:f>
      </x:c>
      <x:c r="K9" s="15" t="str">
        <x:f>IF(A9="","",IF(OR(NOT(ISNUMBER(J9)),G9=0),"n.b.",J9/G9))</x:f>
      </x:c>
      <x:c r="L9" s="2" t="str">
        <x:f>IF(A9="","",IF(OR(NOT(ISNUMBER(J9)),F9&lt;=0),"n.b.",J9/F9))</x:f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/>
      <x:c r="B10" s="2"/>
      <x:c r="C10" s="2"/>
      <x:c r="D10" s="2"/>
      <x:c r="E10" s="2"/>
      <x:c r="F10" s="2"/>
      <x:c r="G10" s="2" t="str">
        <x:f>IF(A10="","",IF('Settings &amp; Assumptions'!$G$14&lt;&gt;1,"n.b.",SUMIFS(Invoices[amount_excl],Invoices[project_id],A10,Invoices[status],"&lt;&gt;concept",Invoices[status],"&lt;&gt;geannuleerd")))</x:f>
      </x:c>
      <x:c r="H10" s="2" t="str">
        <x:f>IF(A10="","",IF('Settings &amp; Assumptions'!$G$15&lt;&gt;1,"n.b.",SUMIFS(Expenses[amount_excl],Expenses[project_id],A10,Expenses[category],"materiaal",Expenses[capital_asset],"no")))</x:f>
      </x:c>
      <x:c r="I10" s="2" t="str">
        <x:f>IF(A10="","",IF('Settings &amp; Assumptions'!$G$15&lt;&gt;1,"n.b.",SUMIFS(Expenses[amount_excl],Expenses[project_id],A10,Expenses[category],"&lt;&gt;materiaal",Expenses[capital_asset],"no")))</x:f>
      </x:c>
      <x:c r="J10" s="2" t="str">
        <x:f>IF(A10="","",IF(COUNT(G10:I10)&lt;3,"n.b.",G10-H10-I10))</x:f>
      </x:c>
      <x:c r="K10" s="15" t="str">
        <x:f>IF(A10="","",IF(OR(NOT(ISNUMBER(J10)),G10=0),"n.b.",J10/G10))</x:f>
      </x:c>
      <x:c r="L10" s="2" t="str">
        <x:f>IF(A10="","",IF(OR(NOT(ISNUMBER(J10)),F10&lt;=0),"n.b.",J10/F10))</x:f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/>
      <x:c r="B11" s="2"/>
      <x:c r="C11" s="2"/>
      <x:c r="D11" s="2"/>
      <x:c r="E11" s="2"/>
      <x:c r="F11" s="2"/>
      <x:c r="G11" s="2" t="str">
        <x:f>IF(A11="","",IF('Settings &amp; Assumptions'!$G$14&lt;&gt;1,"n.b.",SUMIFS(Invoices[amount_excl],Invoices[project_id],A11,Invoices[status],"&lt;&gt;concept",Invoices[status],"&lt;&gt;geannuleerd")))</x:f>
      </x:c>
      <x:c r="H11" s="2" t="str">
        <x:f>IF(A11="","",IF('Settings &amp; Assumptions'!$G$15&lt;&gt;1,"n.b.",SUMIFS(Expenses[amount_excl],Expenses[project_id],A11,Expenses[category],"materiaal",Expenses[capital_asset],"no")))</x:f>
      </x:c>
      <x:c r="I11" s="2" t="str">
        <x:f>IF(A11="","",IF('Settings &amp; Assumptions'!$G$15&lt;&gt;1,"n.b.",SUMIFS(Expenses[amount_excl],Expenses[project_id],A11,Expenses[category],"&lt;&gt;materiaal",Expenses[capital_asset],"no")))</x:f>
      </x:c>
      <x:c r="J11" s="2" t="str">
        <x:f>IF(A11="","",IF(COUNT(G11:I11)&lt;3,"n.b.",G11-H11-I11))</x:f>
      </x:c>
      <x:c r="K11" s="15" t="str">
        <x:f>IF(A11="","",IF(OR(NOT(ISNUMBER(J11)),G11=0),"n.b.",J11/G11))</x:f>
      </x:c>
      <x:c r="L11" s="2" t="str">
        <x:f>IF(A11="","",IF(OR(NOT(ISNUMBER(J11)),F11&lt;=0),"n.b.",J11/F11))</x:f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/>
      <x:c r="B12" s="2"/>
      <x:c r="C12" s="2"/>
      <x:c r="D12" s="2"/>
      <x:c r="E12" s="2"/>
      <x:c r="F12" s="2"/>
      <x:c r="G12" s="2" t="str">
        <x:f>IF(A12="","",IF('Settings &amp; Assumptions'!$G$14&lt;&gt;1,"n.b.",SUMIFS(Invoices[amount_excl],Invoices[project_id],A12,Invoices[status],"&lt;&gt;concept",Invoices[status],"&lt;&gt;geannuleerd")))</x:f>
      </x:c>
      <x:c r="H12" s="2" t="str">
        <x:f>IF(A12="","",IF('Settings &amp; Assumptions'!$G$15&lt;&gt;1,"n.b.",SUMIFS(Expenses[amount_excl],Expenses[project_id],A12,Expenses[category],"materiaal",Expenses[capital_asset],"no")))</x:f>
      </x:c>
      <x:c r="I12" s="2" t="str">
        <x:f>IF(A12="","",IF('Settings &amp; Assumptions'!$G$15&lt;&gt;1,"n.b.",SUMIFS(Expenses[amount_excl],Expenses[project_id],A12,Expenses[category],"&lt;&gt;materiaal",Expenses[capital_asset],"no")))</x:f>
      </x:c>
      <x:c r="J12" s="2" t="str">
        <x:f>IF(A12="","",IF(COUNT(G12:I12)&lt;3,"n.b.",G12-H12-I12))</x:f>
      </x:c>
      <x:c r="K12" s="15" t="str">
        <x:f>IF(A12="","",IF(OR(NOT(ISNUMBER(J12)),G12=0),"n.b.",J12/G12))</x:f>
      </x:c>
      <x:c r="L12" s="2" t="str">
        <x:f>IF(A12="","",IF(OR(NOT(ISNUMBER(J12)),F12&lt;=0),"n.b.",J12/F12))</x:f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/>
      <x:c r="B13" s="2"/>
      <x:c r="C13" s="2"/>
      <x:c r="D13" s="2"/>
      <x:c r="E13" s="2"/>
      <x:c r="F13" s="2"/>
      <x:c r="G13" s="2" t="str">
        <x:f>IF(A13="","",IF('Settings &amp; Assumptions'!$G$14&lt;&gt;1,"n.b.",SUMIFS(Invoices[amount_excl],Invoices[project_id],A13,Invoices[status],"&lt;&gt;concept",Invoices[status],"&lt;&gt;geannuleerd")))</x:f>
      </x:c>
      <x:c r="H13" s="2" t="str">
        <x:f>IF(A13="","",IF('Settings &amp; Assumptions'!$G$15&lt;&gt;1,"n.b.",SUMIFS(Expenses[amount_excl],Expenses[project_id],A13,Expenses[category],"materiaal",Expenses[capital_asset],"no")))</x:f>
      </x:c>
      <x:c r="I13" s="2" t="str">
        <x:f>IF(A13="","",IF('Settings &amp; Assumptions'!$G$15&lt;&gt;1,"n.b.",SUMIFS(Expenses[amount_excl],Expenses[project_id],A13,Expenses[category],"&lt;&gt;materiaal",Expenses[capital_asset],"no")))</x:f>
      </x:c>
      <x:c r="J13" s="2" t="str">
        <x:f>IF(A13="","",IF(COUNT(G13:I13)&lt;3,"n.b.",G13-H13-I13))</x:f>
      </x:c>
      <x:c r="K13" s="15" t="str">
        <x:f>IF(A13="","",IF(OR(NOT(ISNUMBER(J13)),G13=0),"n.b.",J13/G13))</x:f>
      </x:c>
      <x:c r="L13" s="2" t="str">
        <x:f>IF(A13="","",IF(OR(NOT(ISNUMBER(J13)),F13&lt;=0),"n.b.",J13/F13))</x:f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/>
      <x:c r="B14" s="2"/>
      <x:c r="C14" s="2"/>
      <x:c r="D14" s="2"/>
      <x:c r="E14" s="2"/>
      <x:c r="F14" s="2"/>
      <x:c r="G14" s="2" t="str">
        <x:f>IF(A14="","",IF('Settings &amp; Assumptions'!$G$14&lt;&gt;1,"n.b.",SUMIFS(Invoices[amount_excl],Invoices[project_id],A14,Invoices[status],"&lt;&gt;concept",Invoices[status],"&lt;&gt;geannuleerd")))</x:f>
      </x:c>
      <x:c r="H14" s="2" t="str">
        <x:f>IF(A14="","",IF('Settings &amp; Assumptions'!$G$15&lt;&gt;1,"n.b.",SUMIFS(Expenses[amount_excl],Expenses[project_id],A14,Expenses[category],"materiaal",Expenses[capital_asset],"no")))</x:f>
      </x:c>
      <x:c r="I14" s="2" t="str">
        <x:f>IF(A14="","",IF('Settings &amp; Assumptions'!$G$15&lt;&gt;1,"n.b.",SUMIFS(Expenses[amount_excl],Expenses[project_id],A14,Expenses[category],"&lt;&gt;materiaal",Expenses[capital_asset],"no")))</x:f>
      </x:c>
      <x:c r="J14" s="2" t="str">
        <x:f>IF(A14="","",IF(COUNT(G14:I14)&lt;3,"n.b.",G14-H14-I14))</x:f>
      </x:c>
      <x:c r="K14" s="15" t="str">
        <x:f>IF(A14="","",IF(OR(NOT(ISNUMBER(J14)),G14=0),"n.b.",J14/G14))</x:f>
      </x:c>
      <x:c r="L14" s="2" t="str">
        <x:f>IF(A14="","",IF(OR(NOT(ISNUMBER(J14)),F14&lt;=0),"n.b.",J14/F14))</x:f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/>
      <x:c r="B15" s="2"/>
      <x:c r="C15" s="2"/>
      <x:c r="D15" s="2"/>
      <x:c r="E15" s="2"/>
      <x:c r="F15" s="2"/>
      <x:c r="G15" s="2" t="str">
        <x:f>IF(A15="","",IF('Settings &amp; Assumptions'!$G$14&lt;&gt;1,"n.b.",SUMIFS(Invoices[amount_excl],Invoices[project_id],A15,Invoices[status],"&lt;&gt;concept",Invoices[status],"&lt;&gt;geannuleerd")))</x:f>
      </x:c>
      <x:c r="H15" s="2" t="str">
        <x:f>IF(A15="","",IF('Settings &amp; Assumptions'!$G$15&lt;&gt;1,"n.b.",SUMIFS(Expenses[amount_excl],Expenses[project_id],A15,Expenses[category],"materiaal",Expenses[capital_asset],"no")))</x:f>
      </x:c>
      <x:c r="I15" s="2" t="str">
        <x:f>IF(A15="","",IF('Settings &amp; Assumptions'!$G$15&lt;&gt;1,"n.b.",SUMIFS(Expenses[amount_excl],Expenses[project_id],A15,Expenses[category],"&lt;&gt;materiaal",Expenses[capital_asset],"no")))</x:f>
      </x:c>
      <x:c r="J15" s="2" t="str">
        <x:f>IF(A15="","",IF(COUNT(G15:I15)&lt;3,"n.b.",G15-H15-I15))</x:f>
      </x:c>
      <x:c r="K15" s="15" t="str">
        <x:f>IF(A15="","",IF(OR(NOT(ISNUMBER(J15)),G15=0),"n.b.",J15/G15))</x:f>
      </x:c>
      <x:c r="L15" s="2" t="str">
        <x:f>IF(A15="","",IF(OR(NOT(ISNUMBER(J15)),F15&lt;=0),"n.b.",J15/F15))</x:f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/>
      <x:c r="B16" s="2"/>
      <x:c r="C16" s="2"/>
      <x:c r="D16" s="2"/>
      <x:c r="E16" s="2"/>
      <x:c r="F16" s="2"/>
      <x:c r="G16" s="2" t="str">
        <x:f>IF(A16="","",IF('Settings &amp; Assumptions'!$G$14&lt;&gt;1,"n.b.",SUMIFS(Invoices[amount_excl],Invoices[project_id],A16,Invoices[status],"&lt;&gt;concept",Invoices[status],"&lt;&gt;geannuleerd")))</x:f>
      </x:c>
      <x:c r="H16" s="2" t="str">
        <x:f>IF(A16="","",IF('Settings &amp; Assumptions'!$G$15&lt;&gt;1,"n.b.",SUMIFS(Expenses[amount_excl],Expenses[project_id],A16,Expenses[category],"materiaal",Expenses[capital_asset],"no")))</x:f>
      </x:c>
      <x:c r="I16" s="2" t="str">
        <x:f>IF(A16="","",IF('Settings &amp; Assumptions'!$G$15&lt;&gt;1,"n.b.",SUMIFS(Expenses[amount_excl],Expenses[project_id],A16,Expenses[category],"&lt;&gt;materiaal",Expenses[capital_asset],"no")))</x:f>
      </x:c>
      <x:c r="J16" s="2" t="str">
        <x:f>IF(A16="","",IF(COUNT(G16:I16)&lt;3,"n.b.",G16-H16-I16))</x:f>
      </x:c>
      <x:c r="K16" s="15" t="str">
        <x:f>IF(A16="","",IF(OR(NOT(ISNUMBER(J16)),G16=0),"n.b.",J16/G16))</x:f>
      </x:c>
      <x:c r="L16" s="2" t="str">
        <x:f>IF(A16="","",IF(OR(NOT(ISNUMBER(J16)),F16&lt;=0),"n.b.",J16/F16))</x:f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2"/>
      <x:c r="C17" s="2"/>
      <x:c r="D17" s="2"/>
      <x:c r="E17" s="2"/>
      <x:c r="F17" s="2"/>
      <x:c r="G17" s="2" t="str">
        <x:f>IF(A17="","",IF('Settings &amp; Assumptions'!$G$14&lt;&gt;1,"n.b.",SUMIFS(Invoices[amount_excl],Invoices[project_id],A17,Invoices[status],"&lt;&gt;concept",Invoices[status],"&lt;&gt;geannuleerd")))</x:f>
      </x:c>
      <x:c r="H17" s="2" t="str">
        <x:f>IF(A17="","",IF('Settings &amp; Assumptions'!$G$15&lt;&gt;1,"n.b.",SUMIFS(Expenses[amount_excl],Expenses[project_id],A17,Expenses[category],"materiaal",Expenses[capital_asset],"no")))</x:f>
      </x:c>
      <x:c r="I17" s="2" t="str">
        <x:f>IF(A17="","",IF('Settings &amp; Assumptions'!$G$15&lt;&gt;1,"n.b.",SUMIFS(Expenses[amount_excl],Expenses[project_id],A17,Expenses[category],"&lt;&gt;materiaal",Expenses[capital_asset],"no")))</x:f>
      </x:c>
      <x:c r="J17" s="2" t="str">
        <x:f>IF(A17="","",IF(COUNT(G17:I17)&lt;3,"n.b.",G17-H17-I17))</x:f>
      </x:c>
      <x:c r="K17" s="15" t="str">
        <x:f>IF(A17="","",IF(OR(NOT(ISNUMBER(J17)),G17=0),"n.b.",J17/G17))</x:f>
      </x:c>
      <x:c r="L17" s="2" t="str">
        <x:f>IF(A17="","",IF(OR(NOT(ISNUMBER(J17)),F17&lt;=0),"n.b.",J17/F17))</x:f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2"/>
      <x:c r="C18" s="2"/>
      <x:c r="D18" s="2"/>
      <x:c r="E18" s="2"/>
      <x:c r="F18" s="2"/>
      <x:c r="G18" s="2" t="str">
        <x:f>IF(A18="","",IF('Settings &amp; Assumptions'!$G$14&lt;&gt;1,"n.b.",SUMIFS(Invoices[amount_excl],Invoices[project_id],A18,Invoices[status],"&lt;&gt;concept",Invoices[status],"&lt;&gt;geannuleerd")))</x:f>
      </x:c>
      <x:c r="H18" s="2" t="str">
        <x:f>IF(A18="","",IF('Settings &amp; Assumptions'!$G$15&lt;&gt;1,"n.b.",SUMIFS(Expenses[amount_excl],Expenses[project_id],A18,Expenses[category],"materiaal",Expenses[capital_asset],"no")))</x:f>
      </x:c>
      <x:c r="I18" s="2" t="str">
        <x:f>IF(A18="","",IF('Settings &amp; Assumptions'!$G$15&lt;&gt;1,"n.b.",SUMIFS(Expenses[amount_excl],Expenses[project_id],A18,Expenses[category],"&lt;&gt;materiaal",Expenses[capital_asset],"no")))</x:f>
      </x:c>
      <x:c r="J18" s="2" t="str">
        <x:f>IF(A18="","",IF(COUNT(G18:I18)&lt;3,"n.b.",G18-H18-I18))</x:f>
      </x:c>
      <x:c r="K18" s="15" t="str">
        <x:f>IF(A18="","",IF(OR(NOT(ISNUMBER(J18)),G18=0),"n.b.",J18/G18))</x:f>
      </x:c>
      <x:c r="L18" s="2" t="str">
        <x:f>IF(A18="","",IF(OR(NOT(ISNUMBER(J18)),F18&lt;=0),"n.b.",J18/F18))</x:f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/>
      <x:c r="B19" s="2"/>
      <x:c r="C19" s="2"/>
      <x:c r="D19" s="2"/>
      <x:c r="E19" s="2"/>
      <x:c r="F19" s="2"/>
      <x:c r="G19" s="2" t="str">
        <x:f>IF(A19="","",IF('Settings &amp; Assumptions'!$G$14&lt;&gt;1,"n.b.",SUMIFS(Invoices[amount_excl],Invoices[project_id],A19,Invoices[status],"&lt;&gt;concept",Invoices[status],"&lt;&gt;geannuleerd")))</x:f>
      </x:c>
      <x:c r="H19" s="2" t="str">
        <x:f>IF(A19="","",IF('Settings &amp; Assumptions'!$G$15&lt;&gt;1,"n.b.",SUMIFS(Expenses[amount_excl],Expenses[project_id],A19,Expenses[category],"materiaal",Expenses[capital_asset],"no")))</x:f>
      </x:c>
      <x:c r="I19" s="2" t="str">
        <x:f>IF(A19="","",IF('Settings &amp; Assumptions'!$G$15&lt;&gt;1,"n.b.",SUMIFS(Expenses[amount_excl],Expenses[project_id],A19,Expenses[category],"&lt;&gt;materiaal",Expenses[capital_asset],"no")))</x:f>
      </x:c>
      <x:c r="J19" s="2" t="str">
        <x:f>IF(A19="","",IF(COUNT(G19:I19)&lt;3,"n.b.",G19-H19-I19))</x:f>
      </x:c>
      <x:c r="K19" s="15" t="str">
        <x:f>IF(A19="","",IF(OR(NOT(ISNUMBER(J19)),G19=0),"n.b.",J19/G19))</x:f>
      </x:c>
      <x:c r="L19" s="2" t="str">
        <x:f>IF(A19="","",IF(OR(NOT(ISNUMBER(J19)),F19&lt;=0),"n.b.",J19/F19))</x:f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2"/>
      <x:c r="C20" s="2"/>
      <x:c r="D20" s="2"/>
      <x:c r="E20" s="2"/>
      <x:c r="F20" s="2"/>
      <x:c r="G20" s="2" t="str">
        <x:f>IF(A20="","",IF('Settings &amp; Assumptions'!$G$14&lt;&gt;1,"n.b.",SUMIFS(Invoices[amount_excl],Invoices[project_id],A20,Invoices[status],"&lt;&gt;concept",Invoices[status],"&lt;&gt;geannuleerd")))</x:f>
      </x:c>
      <x:c r="H20" s="2" t="str">
        <x:f>IF(A20="","",IF('Settings &amp; Assumptions'!$G$15&lt;&gt;1,"n.b.",SUMIFS(Expenses[amount_excl],Expenses[project_id],A20,Expenses[category],"materiaal",Expenses[capital_asset],"no")))</x:f>
      </x:c>
      <x:c r="I20" s="2" t="str">
        <x:f>IF(A20="","",IF('Settings &amp; Assumptions'!$G$15&lt;&gt;1,"n.b.",SUMIFS(Expenses[amount_excl],Expenses[project_id],A20,Expenses[category],"&lt;&gt;materiaal",Expenses[capital_asset],"no")))</x:f>
      </x:c>
      <x:c r="J20" s="2" t="str">
        <x:f>IF(A20="","",IF(COUNT(G20:I20)&lt;3,"n.b.",G20-H20-I20))</x:f>
      </x:c>
      <x:c r="K20" s="15" t="str">
        <x:f>IF(A20="","",IF(OR(NOT(ISNUMBER(J20)),G20=0),"n.b.",J20/G20))</x:f>
      </x:c>
      <x:c r="L20" s="2" t="str">
        <x:f>IF(A20="","",IF(OR(NOT(ISNUMBER(J20)),F20&lt;=0),"n.b.",J20/F20))</x:f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 t="str">
        <x:f>IF(A21="","",IF('Settings &amp; Assumptions'!$G$14&lt;&gt;1,"n.b.",SUMIFS(Invoices[amount_excl],Invoices[project_id],A21,Invoices[status],"&lt;&gt;concept",Invoices[status],"&lt;&gt;geannuleerd")))</x:f>
      </x:c>
      <x:c r="H21" s="2" t="str">
        <x:f>IF(A21="","",IF('Settings &amp; Assumptions'!$G$15&lt;&gt;1,"n.b.",SUMIFS(Expenses[amount_excl],Expenses[project_id],A21,Expenses[category],"materiaal",Expenses[capital_asset],"no")))</x:f>
      </x:c>
      <x:c r="I21" s="2" t="str">
        <x:f>IF(A21="","",IF('Settings &amp; Assumptions'!$G$15&lt;&gt;1,"n.b.",SUMIFS(Expenses[amount_excl],Expenses[project_id],A21,Expenses[category],"&lt;&gt;materiaal",Expenses[capital_asset],"no")))</x:f>
      </x:c>
      <x:c r="J21" s="2" t="str">
        <x:f>IF(A21="","",IF(COUNT(G21:I21)&lt;3,"n.b.",G21-H21-I21))</x:f>
      </x:c>
      <x:c r="K21" s="15" t="str">
        <x:f>IF(A21="","",IF(OR(NOT(ISNUMBER(J21)),G21=0),"n.b.",J21/G21))</x:f>
      </x:c>
      <x:c r="L21" s="2" t="str">
        <x:f>IF(A21="","",IF(OR(NOT(ISNUMBER(J21)),F21&lt;=0),"n.b.",J21/F21))</x:f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 t="str">
        <x:f>IF(A22="","",IF('Settings &amp; Assumptions'!$G$14&lt;&gt;1,"n.b.",SUMIFS(Invoices[amount_excl],Invoices[project_id],A22,Invoices[status],"&lt;&gt;concept",Invoices[status],"&lt;&gt;geannuleerd")))</x:f>
      </x:c>
      <x:c r="H22" s="2" t="str">
        <x:f>IF(A22="","",IF('Settings &amp; Assumptions'!$G$15&lt;&gt;1,"n.b.",SUMIFS(Expenses[amount_excl],Expenses[project_id],A22,Expenses[category],"materiaal",Expenses[capital_asset],"no")))</x:f>
      </x:c>
      <x:c r="I22" s="2" t="str">
        <x:f>IF(A22="","",IF('Settings &amp; Assumptions'!$G$15&lt;&gt;1,"n.b.",SUMIFS(Expenses[amount_excl],Expenses[project_id],A22,Expenses[category],"&lt;&gt;materiaal",Expenses[capital_asset],"no")))</x:f>
      </x:c>
      <x:c r="J22" s="2" t="str">
        <x:f>IF(A22="","",IF(COUNT(G22:I22)&lt;3,"n.b.",G22-H22-I22))</x:f>
      </x:c>
      <x:c r="K22" s="15" t="str">
        <x:f>IF(A22="","",IF(OR(NOT(ISNUMBER(J22)),G22=0),"n.b.",J22/G22))</x:f>
      </x:c>
      <x:c r="L22" s="2" t="str">
        <x:f>IF(A22="","",IF(OR(NOT(ISNUMBER(J22)),F22&lt;=0),"n.b.",J22/F22))</x:f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 t="str">
        <x:f>IF(A23="","",IF('Settings &amp; Assumptions'!$G$14&lt;&gt;1,"n.b.",SUMIFS(Invoices[amount_excl],Invoices[project_id],A23,Invoices[status],"&lt;&gt;concept",Invoices[status],"&lt;&gt;geannuleerd")))</x:f>
      </x:c>
      <x:c r="H23" s="2" t="str">
        <x:f>IF(A23="","",IF('Settings &amp; Assumptions'!$G$15&lt;&gt;1,"n.b.",SUMIFS(Expenses[amount_excl],Expenses[project_id],A23,Expenses[category],"materiaal",Expenses[capital_asset],"no")))</x:f>
      </x:c>
      <x:c r="I23" s="2" t="str">
        <x:f>IF(A23="","",IF('Settings &amp; Assumptions'!$G$15&lt;&gt;1,"n.b.",SUMIFS(Expenses[amount_excl],Expenses[project_id],A23,Expenses[category],"&lt;&gt;materiaal",Expenses[capital_asset],"no")))</x:f>
      </x:c>
      <x:c r="J23" s="2" t="str">
        <x:f>IF(A23="","",IF(COUNT(G23:I23)&lt;3,"n.b.",G23-H23-I23))</x:f>
      </x:c>
      <x:c r="K23" s="15" t="str">
        <x:f>IF(A23="","",IF(OR(NOT(ISNUMBER(J23)),G23=0),"n.b.",J23/G23))</x:f>
      </x:c>
      <x:c r="L23" s="2" t="str">
        <x:f>IF(A23="","",IF(OR(NOT(ISNUMBER(J23)),F23&lt;=0),"n.b.",J23/F23))</x:f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 t="str">
        <x:f>IF(A24="","",IF('Settings &amp; Assumptions'!$G$14&lt;&gt;1,"n.b.",SUMIFS(Invoices[amount_excl],Invoices[project_id],A24,Invoices[status],"&lt;&gt;concept",Invoices[status],"&lt;&gt;geannuleerd")))</x:f>
      </x:c>
      <x:c r="H24" s="2" t="str">
        <x:f>IF(A24="","",IF('Settings &amp; Assumptions'!$G$15&lt;&gt;1,"n.b.",SUMIFS(Expenses[amount_excl],Expenses[project_id],A24,Expenses[category],"materiaal",Expenses[capital_asset],"no")))</x:f>
      </x:c>
      <x:c r="I24" s="2" t="str">
        <x:f>IF(A24="","",IF('Settings &amp; Assumptions'!$G$15&lt;&gt;1,"n.b.",SUMIFS(Expenses[amount_excl],Expenses[project_id],A24,Expenses[category],"&lt;&gt;materiaal",Expenses[capital_asset],"no")))</x:f>
      </x:c>
      <x:c r="J24" s="2" t="str">
        <x:f>IF(A24="","",IF(COUNT(G24:I24)&lt;3,"n.b.",G24-H24-I24))</x:f>
      </x:c>
      <x:c r="K24" s="15" t="str">
        <x:f>IF(A24="","",IF(OR(NOT(ISNUMBER(J24)),G24=0),"n.b.",J24/G24))</x:f>
      </x:c>
      <x:c r="L24" s="2" t="str">
        <x:f>IF(A24="","",IF(OR(NOT(ISNUMBER(J24)),F24&lt;=0),"n.b.",J24/F24))</x:f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 t="str">
        <x:f>IF(A25="","",IF('Settings &amp; Assumptions'!$G$14&lt;&gt;1,"n.b.",SUMIFS(Invoices[amount_excl],Invoices[project_id],A25,Invoices[status],"&lt;&gt;concept",Invoices[status],"&lt;&gt;geannuleerd")))</x:f>
      </x:c>
      <x:c r="H25" s="2" t="str">
        <x:f>IF(A25="","",IF('Settings &amp; Assumptions'!$G$15&lt;&gt;1,"n.b.",SUMIFS(Expenses[amount_excl],Expenses[project_id],A25,Expenses[category],"materiaal",Expenses[capital_asset],"no")))</x:f>
      </x:c>
      <x:c r="I25" s="2" t="str">
        <x:f>IF(A25="","",IF('Settings &amp; Assumptions'!$G$15&lt;&gt;1,"n.b.",SUMIFS(Expenses[amount_excl],Expenses[project_id],A25,Expenses[category],"&lt;&gt;materiaal",Expenses[capital_asset],"no")))</x:f>
      </x:c>
      <x:c r="J25" s="2" t="str">
        <x:f>IF(A25="","",IF(COUNT(G25:I25)&lt;3,"n.b.",G25-H25-I25))</x:f>
      </x:c>
      <x:c r="K25" s="15" t="str">
        <x:f>IF(A25="","",IF(OR(NOT(ISNUMBER(J25)),G25=0),"n.b.",J25/G25))</x:f>
      </x:c>
      <x:c r="L25" s="2" t="str">
        <x:f>IF(A25="","",IF(OR(NOT(ISNUMBER(J25)),F25&lt;=0),"n.b.",J25/F25))</x:f>
      </x:c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N2:P2"/>
  </x:mergeCells>
  <x:pageMargins left="0.7" right="0.7" top="0.75" bottom="0.75" header="0.3" footer="0.3"/>
  <x:tableParts count="1">
    <x:tablePart xmlns:r="http://schemas.openxmlformats.org/officeDocument/2006/relationships" r:id="R9fffb7aaf88d451e"/>
  </x:tableParts>
</x:worksheet>
</file>

<file path=xl/worksheets/sheet7.xml><?xml version="1.0" encoding="utf-8"?>
<x:worksheet xmlns:x="http://schemas.openxmlformats.org/spreadsheetml/2006/main">
  <x:sheetPr>
    <x:tabColor rgb="FF56D9E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Privéoverzicht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Runway gebruikt vrij besteedbare cash en een expliciet leefbudget. Onvolledige maanden tellen niet als nul mee.</x:v>
      </x:c>
      <x:c r="B3" s="5" t="str">
        <x:v>Runway gebruikt vrij besteedbare cash en een expliciet leefbudget. Onvolledige maanden tellen niet als nul mee.</x:v>
      </x:c>
      <x:c r="C3" s="5" t="str">
        <x:v>Runway gebruikt vrij besteedbare cash en een expliciet leefbudget. Onvolledige maanden tellen niet als nul mee.</x:v>
      </x:c>
      <x:c r="D3" s="5" t="str">
        <x:v>Runway gebruikt vrij besteedbare cash en een expliciet leefbudget. Onvolledige maanden tellen niet als nul mee.</x:v>
      </x:c>
      <x:c r="E3" s="5" t="str">
        <x:v>Runway gebruikt vrij besteedbare cash en een expliciet leefbudget. Onvolledige maanden tellen niet als nul mee.</x:v>
      </x:c>
      <x:c r="F3" s="5" t="str">
        <x:v>Runway gebruikt vrij besteedbare cash en een expliciet leefbudget. Onvolledige maanden tellen niet als nul mee.</x:v>
      </x:c>
      <x:c r="G3" s="5" t="str">
        <x:v>Runway gebruikt vrij besteedbare cash en een expliciet leefbudget. Onvolledige maanden tellen niet als nul mee.</x:v>
      </x:c>
      <x:c r="H3" s="5" t="str">
        <x:v>Runway gebruikt vrij besteedbare cash en een expliciet leefbudget. Onvolledige maanden tellen niet als nul mee.</x:v>
      </x:c>
      <x:c r="I3" s="5" t="str">
        <x:v>Runway gebruikt vrij besteedbare cash en een expliciet leefbudget. Onvolledige maanden tellen niet als nul mee.</x:v>
      </x:c>
      <x:c r="J3" s="5" t="str">
        <x:v>Runway gebruikt vrij besteedbare cash en een expliciet leefbudget. Onvolledige maanden tellen niet als nul mee.</x:v>
      </x:c>
      <x:c r="K3" s="5" t="str">
        <x:v>Runway gebruikt vrij besteedbare cash en een expliciet leefbudget. Onvolledige maanden tellen niet als nul mee.</x:v>
      </x:c>
      <x:c r="L3" s="5" t="str">
        <x:v>Runway gebruikt vrij besteedbare cash en een expliciet leefbudget. Onvolledige maanden tellen niet als nul mee.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Privé-uitgaven deze maand</x:v>
      </x:c>
      <x:c r="B6" s="2"/>
      <x:c r="C6" s="2"/>
      <x:c r="D6" s="2"/>
      <x:c r="E6" s="16" t="str">
        <x:f>INDEX('Monthly Reports'!E6:E29,MATCH(EDATE(DATE(YEAR('Settings &amp; Assumptions'!$B$6),MONTH('Settings &amp; Assumptions'!$B$6),1),0),'Monthly Reports'!A6:A29,0))</x:f>
        <x:v>n.b.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Gemiddelde laatste 3 volle maanden</x:v>
      </x:c>
      <x:c r="B7" s="2"/>
      <x:c r="C7" s="2"/>
      <x:c r="D7" s="2"/>
      <x:c r="E7" s="16" t="str">
        <x:f>IF(COUNT(INDEX('Monthly Reports'!E6:E29,MATCH(EDATE(DATE(YEAR('Settings &amp; Assumptions'!$B$6),MONTH('Settings &amp; Assumptions'!$B$6),1),-1),'Monthly Reports'!A6:A29,0)),INDEX('Monthly Reports'!E6:E29,MATCH(EDATE(DATE(YEAR('Settings &amp; Assumptions'!$B$6),MONTH('Settings &amp; Assumptions'!$B$6),1),-2),'Monthly Reports'!A6:A29,0)),INDEX('Monthly Reports'!E6:E29,MATCH(EDATE(DATE(YEAR('Settings &amp; Assumptions'!$B$6),MONTH('Settings &amp; Assumptions'!$B$6),1),-3),'Monthly Reports'!A6:A29,0)))&lt;3,"n.b.",AVERAGE(INDEX('Monthly Reports'!E6:E29,MATCH(EDATE(DATE(YEAR('Settings &amp; Assumptions'!$B$6),MONTH('Settings &amp; Assumptions'!$B$6),1),-1),'Monthly Reports'!A6:A29,0)),INDEX('Monthly Reports'!E6:E29,MATCH(EDATE(DATE(YEAR('Settings &amp; Assumptions'!$B$6),MONTH('Settings &amp; Assumptions'!$B$6),1),-2),'Monthly Reports'!A6:A29,0)),INDEX('Monthly Reports'!E6:E29,MATCH(EDATE(DATE(YEAR('Settings &amp; Assumptions'!$B$6),MONTH('Settings &amp; Assumptions'!$B$6),1),-3),'Monthly Reports'!A6:A29,0))))</x:f>
        <x:v>n.b.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Vast deze maand</x:v>
      </x:c>
      <x:c r="B8" s="2"/>
      <x:c r="C8" s="2"/>
      <x:c r="D8" s="2"/>
      <x:c r="E8" s="16" t="str">
        <x:f>IF(ISNUMBER(E6),SUMIFS(PrivateCategories[Deze maand],PrivateCategories[Type],"Vast"),"n.b.")</x:f>
        <x:v>n.b.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Variabel deze maand</x:v>
      </x:c>
      <x:c r="B9" s="2"/>
      <x:c r="C9" s="2"/>
      <x:c r="D9" s="2"/>
      <x:c r="E9" s="16" t="str">
        <x:f>IF(ISNUMBER(E6),SUMIFS(PrivateCategories[Deze maand],PrivateCategories[Type],"Variabel"),"n.b.")</x:f>
        <x:v>n.b.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Reiskosten deze maand</x:v>
      </x:c>
      <x:c r="B10" s="2"/>
      <x:c r="C10" s="2"/>
      <x:c r="D10" s="2"/>
      <x:c r="E10" s="16" t="str">
        <x:f>'Private Expenses'!D15</x:f>
        <x:v>n.b.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Runway comfortabel (maanden)</x:v>
      </x:c>
      <x:c r="B11" s="2"/>
      <x:c r="C11" s="2"/>
      <x:c r="D11" s="2"/>
      <x:c r="E11" s="19" t="str">
        <x:f>IF(ISNUMBER('Net Worth'!E15),MAX(0,'Net Worth'!E15)/'Settings &amp; Assumptions'!$B$23,"n.b.")</x:f>
        <x:v>n.b.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Vrije cash</x:v>
      </x:c>
      <x:c r="B12" s="2"/>
      <x:c r="C12" s="2"/>
      <x:c r="D12" s="2"/>
      <x:c r="E12" s="16" t="str">
        <x:f>'Net Worth'!E15</x:f>
        <x:v>n.b.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Maandelijks leefbudget</x:v>
      </x:c>
      <x:c r="B13" s="2"/>
      <x:c r="C13" s="2"/>
      <x:c r="D13" s="2"/>
      <x:c r="E13" s="16" t="n">
        <x:f>'Settings &amp; Assumptions'!$B$23</x:f>
        <x:v>2000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Spaarcapaciteit / werkmaand</x:v>
      </x:c>
      <x:c r="B14" s="2"/>
      <x:c r="C14" s="2"/>
      <x:c r="D14" s="2"/>
      <x:c r="E14" s="16" t="str">
        <x:f>IF(ISNUMBER('Settings &amp; Assumptions'!$B$34),'Settings &amp; Assumptions'!$B$34*'Settings &amp; Assumptions'!$B$20-'Settings &amp; Assumptions'!$B$23,"n.b.")</x:f>
        <x:v>n.b.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Spaarquote / werkmaand</x:v>
      </x:c>
      <x:c r="B15" s="2"/>
      <x:c r="C15" s="2"/>
      <x:c r="D15" s="2"/>
      <x:c r="E15" s="17" t="str">
        <x:f>IF(OR(NOT(ISNUMBER(E14)),'Settings &amp; Assumptions'!$B$34&lt;=0),"n.b.",E14/('Settings &amp; Assumptions'!$B$34*'Settings &amp; Assumptions'!$B$20))</x:f>
        <x:v>n.b.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v>Werkelijk cashsparen maand</x:v>
      </x:c>
      <x:c r="B18" s="2"/>
      <x:c r="C18" s="2"/>
      <x:c r="D18" s="2"/>
      <x:c r="E18" s="16" t="str">
        <x:f>INDEX('Monthly Reports'!P6:P29,MATCH(EDATE(DATE(YEAR('Settings &amp; Assumptions'!$B$6),MONTH('Settings &amp; Assumptions'!$B$6),1),0),'Monthly Reports'!A6:A29,0))</x:f>
        <x:v>n.b.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v>Werkelijk privé beschikbaar maand</x:v>
      </x:c>
      <x:c r="B19" s="2"/>
      <x:c r="C19" s="2"/>
      <x:c r="D19" s="2"/>
      <x:c r="E19" s="16" t="str">
        <x:f>INDEX('Monthly Reports'!Q6:Q29,MATCH(EDATE(DATE(YEAR('Settings &amp; Assumptions'!$B$6),MONTH('Settings &amp; Assumptions'!$B$6),1),0),'Monthly Reports'!A6:A29,0))</x:f>
        <x:v>n.b.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v>Werkelijke spaarquote maand</x:v>
      </x:c>
      <x:c r="B20" s="2"/>
      <x:c r="C20" s="2"/>
      <x:c r="D20" s="2"/>
      <x:c r="E20" s="17" t="str">
        <x:f>INDEX('Monthly Reports'!R6:R29,MATCH(EDATE(DATE(YEAR('Settings &amp; Assumptions'!$B$6),MONTH('Settings &amp; Assumptions'!$B$6),1),0),'Monthly Reports'!A6:A29,0))</x:f>
        <x:v>n.b.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6:D6"/>
    <x:mergeCell ref="E6:G6"/>
    <x:mergeCell ref="A7:D7"/>
    <x:mergeCell ref="E7:G7"/>
    <x:mergeCell ref="A8:D8"/>
    <x:mergeCell ref="E8:G8"/>
    <x:mergeCell ref="A9:D9"/>
    <x:mergeCell ref="E9:G9"/>
    <x:mergeCell ref="A10:D10"/>
    <x:mergeCell ref="E10:G10"/>
    <x:mergeCell ref="A11:D11"/>
    <x:mergeCell ref="E11:G11"/>
    <x:mergeCell ref="A12:D12"/>
    <x:mergeCell ref="E12:G12"/>
    <x:mergeCell ref="A13:D13"/>
    <x:mergeCell ref="E13:G13"/>
    <x:mergeCell ref="A14:D14"/>
    <x:mergeCell ref="E14:G14"/>
    <x:mergeCell ref="A15:D15"/>
    <x:mergeCell ref="E15:G15"/>
    <x:mergeCell ref="A18:D18"/>
    <x:mergeCell ref="E18:G18"/>
    <x:mergeCell ref="A19:D19"/>
    <x:mergeCell ref="E19:G19"/>
    <x:mergeCell ref="A20:D20"/>
    <x:mergeCell ref="E20:G20"/>
    <x:mergeCell ref="N2:P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6D9E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Privé-uitgaven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Alleen externe privé-uitgaven. Overboekingen en privéonttrekkingen zijn geen consumptie.</x:v>
      </x:c>
      <x:c r="B3" s="5" t="str">
        <x:v>Alleen externe privé-uitgaven. Overboekingen en privéonttrekkingen zijn geen consumptie.</x:v>
      </x:c>
      <x:c r="C3" s="5" t="str">
        <x:v>Alleen externe privé-uitgaven. Overboekingen en privéonttrekkingen zijn geen consumptie.</x:v>
      </x:c>
      <x:c r="D3" s="5" t="str">
        <x:v>Alleen externe privé-uitgaven. Overboekingen en privéonttrekkingen zijn geen consumptie.</x:v>
      </x:c>
      <x:c r="E3" s="5" t="str">
        <x:v>Alleen externe privé-uitgaven. Overboekingen en privéonttrekkingen zijn geen consumptie.</x:v>
      </x:c>
      <x:c r="F3" s="5" t="str">
        <x:v>Alleen externe privé-uitgaven. Overboekingen en privéonttrekkingen zijn geen consumptie.</x:v>
      </x:c>
      <x:c r="G3" s="5" t="str">
        <x:v>Alleen externe privé-uitgaven. Overboekingen en privéonttrekkingen zijn geen consumptie.</x:v>
      </x:c>
      <x:c r="H3" s="5" t="str">
        <x:v>Alleen externe privé-uitgaven. Overboekingen en privéonttrekkingen zijn geen consumptie.</x:v>
      </x:c>
      <x:c r="I3" s="5" t="str">
        <x:v>Alleen externe privé-uitgaven. Overboekingen en privéonttrekkingen zijn geen consumptie.</x:v>
      </x:c>
      <x:c r="J3" s="5" t="str">
        <x:v>Alleen externe privé-uitgaven. Overboekingen en privéonttrekkingen zijn geen consumptie.</x:v>
      </x:c>
      <x:c r="K3" s="5" t="str">
        <x:v>Alleen externe privé-uitgaven. Overboekingen en privéonttrekkingen zijn geen consumptie.</x:v>
      </x:c>
      <x:c r="L3" s="5" t="str">
        <x:v>Alleen externe privé-uitgaven. Overboekingen en privéonttrekkingen zijn geen consumptie.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Categorie</x:v>
      </x:c>
      <x:c r="B5" s="8" t="str">
        <x:v>Type</x:v>
      </x:c>
      <x:c r="C5" s="8" t="str">
        <x:v>Essentieel</x:v>
      </x:c>
      <x:c r="D5" s="8" t="str">
        <x:v>Deze maand</x:v>
      </x:c>
      <x:c r="E5" s="8" t="str">
        <x:v>Vorige maand</x:v>
      </x:c>
      <x:c r="F5" s="8" t="str">
        <x:v>Verschil</x:v>
      </x:c>
      <x:c r="G5" s="8" t="str">
        <x:v>3-maandgemiddelde</x:v>
      </x:c>
      <x:c r="H5" s="8" t="str">
        <x:v>Minimaal budget</x:v>
      </x:c>
      <x:c r="I5" s="8" t="str">
        <x:v>Comfortabel budget</x:v>
      </x:c>
      <x:c r="J5" s="8" t="str">
        <x:v>Reisbudget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Boodschappen</x:v>
      </x:c>
      <x:c r="B6" s="2" t="str">
        <x:v>Variabel</x:v>
      </x:c>
      <x:c r="C6" s="2" t="str">
        <x:v>Ja</x:v>
      </x:c>
      <x:c r="D6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Assumptions'!$B$6),1),1)-1),"n.b.",-SUMIFS(Transactions[amount],Transactions[include_in_totals],1,Transactions[category],A6,Transactions[classification],"private",Transactions[amount],"&lt;0",Transactions[booking_date],"&gt;="&amp;EDATE(DATE(YEAR('Settings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6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Assumptions'!$B$6),1),0)-1),"n.b.",-SUMIFS(Transactions[amount],Transactions[include_in_totals],1,Transactions[category],A6,Transactions[classification],"private",Transactions[amount],"&lt;0",Transactions[booking_date],"&gt;="&amp;EDATE(DATE(YEAR('Settings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6" s="12" t="str">
        <x:f>IF(COUNT(D6:E6)&lt;2,"n.b.",D6-E6)</x:f>
        <x:v>n.b.</x:v>
      </x:c>
      <x:c r="G6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Assumptions'!$B$6),1)-1),"n.b.",(-SUMIFS(Transactions[amount],Transactions[include_in_totals],1,Transactions[category],A6,Transactions[classification],"private",Transactions[amount],"&lt;0",Transactions[booking_date],"&gt;="&amp;EDATE(DATE(YEAR('Settings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6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6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6" s="12"/>
      <x:c r="I6" s="12"/>
      <x:c r="J6" s="1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Restaurants</x:v>
      </x:c>
      <x:c r="B7" s="2" t="str">
        <x:v>Variabel</x:v>
      </x:c>
      <x:c r="C7" s="2" t="str">
        <x:v>Nee</x:v>
      </x:c>
      <x:c r="D7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Assumptions'!$B$6),1),1)-1),"n.b.",-SUMIFS(Transactions[amount],Transactions[include_in_totals],1,Transactions[category],A7,Transactions[classification],"private",Transactions[amount],"&lt;0",Transactions[booking_date],"&gt;="&amp;EDATE(DATE(YEAR('Settings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7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Assumptions'!$B$6),1),0)-1),"n.b.",-SUMIFS(Transactions[amount],Transactions[include_in_totals],1,Transactions[category],A7,Transactions[classification],"private",Transactions[amount],"&lt;0",Transactions[booking_date],"&gt;="&amp;EDATE(DATE(YEAR('Settings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7" s="12" t="str">
        <x:f>IF(COUNT(D7:E7)&lt;2,"n.b.",D7-E7)</x:f>
        <x:v>n.b.</x:v>
      </x:c>
      <x:c r="G7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Assumptions'!$B$6),1)-1),"n.b.",(-SUMIFS(Transactions[amount],Transactions[include_in_totals],1,Transactions[category],A7,Transactions[classification],"private",Transactions[amount],"&lt;0",Transactions[booking_date],"&gt;="&amp;EDATE(DATE(YEAR('Settings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7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7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7" s="12"/>
      <x:c r="I7" s="12"/>
      <x:c r="J7" s="1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Wonen</x:v>
      </x:c>
      <x:c r="B8" s="2" t="str">
        <x:v>Vast</x:v>
      </x:c>
      <x:c r="C8" s="2" t="str">
        <x:v>Ja</x:v>
      </x:c>
      <x:c r="D8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Assumptions'!$B$6),1),1)-1),"n.b.",-SUMIFS(Transactions[amount],Transactions[include_in_totals],1,Transactions[category],A8,Transactions[classification],"private",Transactions[amount],"&lt;0",Transactions[booking_date],"&gt;="&amp;EDATE(DATE(YEAR('Settings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8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Assumptions'!$B$6),1),0)-1),"n.b.",-SUMIFS(Transactions[amount],Transactions[include_in_totals],1,Transactions[category],A8,Transactions[classification],"private",Transactions[amount],"&lt;0",Transactions[booking_date],"&gt;="&amp;EDATE(DATE(YEAR('Settings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8" s="12" t="str">
        <x:f>IF(COUNT(D8:E8)&lt;2,"n.b.",D8-E8)</x:f>
        <x:v>n.b.</x:v>
      </x:c>
      <x:c r="G8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Assumptions'!$B$6),1)-1),"n.b.",(-SUMIFS(Transactions[amount],Transactions[include_in_totals],1,Transactions[category],A8,Transactions[classification],"private",Transactions[amount],"&lt;0",Transactions[booking_date],"&gt;="&amp;EDATE(DATE(YEAR('Settings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8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8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8" s="12"/>
      <x:c r="I8" s="12"/>
      <x:c r="J8" s="1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Zorgverzekering</x:v>
      </x:c>
      <x:c r="B9" s="2" t="str">
        <x:v>Vast</x:v>
      </x:c>
      <x:c r="C9" s="2" t="str">
        <x:v>Ja</x:v>
      </x:c>
      <x:c r="D9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Assumptions'!$B$6),1),1)-1),"n.b.",-SUMIFS(Transactions[amount],Transactions[include_in_totals],1,Transactions[category],A9,Transactions[classification],"private",Transactions[amount],"&lt;0",Transactions[booking_date],"&gt;="&amp;EDATE(DATE(YEAR('Settings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9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Assumptions'!$B$6),1),0)-1),"n.b.",-SUMIFS(Transactions[amount],Transactions[include_in_totals],1,Transactions[category],A9,Transactions[classification],"private",Transactions[amount],"&lt;0",Transactions[booking_date],"&gt;="&amp;EDATE(DATE(YEAR('Settings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9" s="12" t="str">
        <x:f>IF(COUNT(D9:E9)&lt;2,"n.b.",D9-E9)</x:f>
        <x:v>n.b.</x:v>
      </x:c>
      <x:c r="G9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Assumptions'!$B$6),1)-1),"n.b.",(-SUMIFS(Transactions[amount],Transactions[include_in_totals],1,Transactions[category],A9,Transactions[classification],"private",Transactions[amount],"&lt;0",Transactions[booking_date],"&gt;="&amp;EDATE(DATE(YEAR('Settings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9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9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9" s="12"/>
      <x:c r="I9" s="12"/>
      <x:c r="J9" s="1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Telefoon</x:v>
      </x:c>
      <x:c r="B10" s="2" t="str">
        <x:v>Vast</x:v>
      </x:c>
      <x:c r="C10" s="2" t="str">
        <x:v>Ja</x:v>
      </x:c>
      <x:c r="D10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Assumptions'!$B$6),1),1)-1),"n.b.",-SUMIFS(Transactions[amount],Transactions[include_in_totals],1,Transactions[category],A10,Transactions[classification],"private",Transactions[amount],"&lt;0",Transactions[booking_date],"&gt;="&amp;EDATE(DATE(YEAR('Settings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0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Assumptions'!$B$6),1),0)-1),"n.b.",-SUMIFS(Transactions[amount],Transactions[include_in_totals],1,Transactions[category],A10,Transactions[classification],"private",Transactions[amount],"&lt;0",Transactions[booking_date],"&gt;="&amp;EDATE(DATE(YEAR('Settings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0" s="12" t="str">
        <x:f>IF(COUNT(D10:E10)&lt;2,"n.b.",D10-E10)</x:f>
        <x:v>n.b.</x:v>
      </x:c>
      <x:c r="G10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Assumptions'!$B$6),1)-1),"n.b.",(-SUMIFS(Transactions[amount],Transactions[include_in_totals],1,Transactions[category],A10,Transactions[classification],"private",Transactions[amount],"&lt;0",Transactions[booking_date],"&gt;="&amp;EDATE(DATE(YEAR('Settings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10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10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0" s="12"/>
      <x:c r="I10" s="12"/>
      <x:c r="J10" s="1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Internet</x:v>
      </x:c>
      <x:c r="B11" s="2" t="str">
        <x:v>Vast</x:v>
      </x:c>
      <x:c r="C11" s="2" t="str">
        <x:v>Ja</x:v>
      </x:c>
      <x:c r="D11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Assumptions'!$B$6),1),1)-1),"n.b.",-SUMIFS(Transactions[amount],Transactions[include_in_totals],1,Transactions[category],A11,Transactions[classification],"private",Transactions[amount],"&lt;0",Transactions[booking_date],"&gt;="&amp;EDATE(DATE(YEAR('Settings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1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Assumptions'!$B$6),1),0)-1),"n.b.",-SUMIFS(Transactions[amount],Transactions[include_in_totals],1,Transactions[category],A11,Transactions[classification],"private",Transactions[amount],"&lt;0",Transactions[booking_date],"&gt;="&amp;EDATE(DATE(YEAR('Settings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1" s="12" t="str">
        <x:f>IF(COUNT(D11:E11)&lt;2,"n.b.",D11-E11)</x:f>
        <x:v>n.b.</x:v>
      </x:c>
      <x:c r="G11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Assumptions'!$B$6),1)-1),"n.b.",(-SUMIFS(Transactions[amount],Transactions[include_in_totals],1,Transactions[category],A11,Transactions[classification],"private",Transactions[amount],"&lt;0",Transactions[booking_date],"&gt;="&amp;EDATE(DATE(YEAR('Settings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11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11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1" s="12"/>
      <x:c r="I11" s="12"/>
      <x:c r="J11" s="1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Opslag</x:v>
      </x:c>
      <x:c r="B12" s="2" t="str">
        <x:v>Vast</x:v>
      </x:c>
      <x:c r="C12" s="2" t="str">
        <x:v>Ja</x:v>
      </x:c>
      <x:c r="D12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Assumptions'!$B$6),1),1)-1),"n.b.",-SUMIFS(Transactions[amount],Transactions[include_in_totals],1,Transactions[category],A12,Transactions[classification],"private",Transactions[amount],"&lt;0",Transactions[booking_date],"&gt;="&amp;EDATE(DATE(YEAR('Settings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2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Assumptions'!$B$6),1),0)-1),"n.b.",-SUMIFS(Transactions[amount],Transactions[include_in_totals],1,Transactions[category],A12,Transactions[classification],"private",Transactions[amount],"&lt;0",Transactions[booking_date],"&gt;="&amp;EDATE(DATE(YEAR('Settings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2" s="12" t="str">
        <x:f>IF(COUNT(D12:E12)&lt;2,"n.b.",D12-E12)</x:f>
        <x:v>n.b.</x:v>
      </x:c>
      <x:c r="G12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Assumptions'!$B$6),1)-1),"n.b.",(-SUMIFS(Transactions[amount],Transactions[include_in_totals],1,Transactions[category],A12,Transactions[classification],"private",Transactions[amount],"&lt;0",Transactions[booking_date],"&gt;="&amp;EDATE(DATE(YEAR('Settings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12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12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2" s="12"/>
      <x:c r="I12" s="12"/>
      <x:c r="J12" s="1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Verzekeringen</x:v>
      </x:c>
      <x:c r="B13" s="2" t="str">
        <x:v>Vast</x:v>
      </x:c>
      <x:c r="C13" s="2" t="str">
        <x:v>Ja</x:v>
      </x:c>
      <x:c r="D13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Assumptions'!$B$6),1),1)-1),"n.b.",-SUMIFS(Transactions[amount],Transactions[include_in_totals],1,Transactions[category],A13,Transactions[classification],"private",Transactions[amount],"&lt;0",Transactions[booking_date],"&gt;="&amp;EDATE(DATE(YEAR('Settings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3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Assumptions'!$B$6),1),0)-1),"n.b.",-SUMIFS(Transactions[amount],Transactions[include_in_totals],1,Transactions[category],A13,Transactions[classification],"private",Transactions[amount],"&lt;0",Transactions[booking_date],"&gt;="&amp;EDATE(DATE(YEAR('Settings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3" s="12" t="str">
        <x:f>IF(COUNT(D13:E13)&lt;2,"n.b.",D13-E13)</x:f>
        <x:v>n.b.</x:v>
      </x:c>
      <x:c r="G13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Assumptions'!$B$6),1)-1),"n.b.",(-SUMIFS(Transactions[amount],Transactions[include_in_totals],1,Transactions[category],A13,Transactions[classification],"private",Transactions[amount],"&lt;0",Transactions[booking_date],"&gt;="&amp;EDATE(DATE(YEAR('Settings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13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13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3" s="12"/>
      <x:c r="I13" s="12"/>
      <x:c r="J13" s="1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Abonnementen</x:v>
      </x:c>
      <x:c r="B14" s="2" t="str">
        <x:v>Vast</x:v>
      </x:c>
      <x:c r="C14" s="2" t="str">
        <x:v>Nee</x:v>
      </x:c>
      <x:c r="D14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Assumptions'!$B$6),1),1)-1),"n.b.",-SUMIFS(Transactions[amount],Transactions[include_in_totals],1,Transactions[category],A14,Transactions[classification],"private",Transactions[amount],"&lt;0",Transactions[booking_date],"&gt;="&amp;EDATE(DATE(YEAR('Settings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4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Assumptions'!$B$6),1),0)-1),"n.b.",-SUMIFS(Transactions[amount],Transactions[include_in_totals],1,Transactions[category],A14,Transactions[classification],"private",Transactions[amount],"&lt;0",Transactions[booking_date],"&gt;="&amp;EDATE(DATE(YEAR('Settings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4" s="12" t="str">
        <x:f>IF(COUNT(D14:E14)&lt;2,"n.b.",D14-E14)</x:f>
        <x:v>n.b.</x:v>
      </x:c>
      <x:c r="G14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Assumptions'!$B$6),1)-1),"n.b.",(-SUMIFS(Transactions[amount],Transactions[include_in_totals],1,Transactions[category],A14,Transactions[classification],"private",Transactions[amount],"&lt;0",Transactions[booking_date],"&gt;="&amp;EDATE(DATE(YEAR('Settings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14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14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4" s="12"/>
      <x:c r="I14" s="12"/>
      <x:c r="J14" s="1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Reizen</x:v>
      </x:c>
      <x:c r="B15" s="2" t="str">
        <x:v>Variabel</x:v>
      </x:c>
      <x:c r="C15" s="2" t="str">
        <x:v>Nee</x:v>
      </x:c>
      <x:c r="D15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Assumptions'!$B$6),1),1)-1),"n.b.",-SUMIFS(Transactions[amount],Transactions[include_in_totals],1,Transactions[category],A15,Transactions[classification],"private",Transactions[amount],"&lt;0",Transactions[booking_date],"&gt;="&amp;EDATE(DATE(YEAR('Settings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5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Assumptions'!$B$6),1),0)-1),"n.b.",-SUMIFS(Transactions[amount],Transactions[include_in_totals],1,Transactions[category],A15,Transactions[classification],"private",Transactions[amount],"&lt;0",Transactions[booking_date],"&gt;="&amp;EDATE(DATE(YEAR('Settings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5" s="12" t="str">
        <x:f>IF(COUNT(D15:E15)&lt;2,"n.b.",D15-E15)</x:f>
        <x:v>n.b.</x:v>
      </x:c>
      <x:c r="G15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Assumptions'!$B$6),1)-1),"n.b.",(-SUMIFS(Transactions[amount],Transactions[include_in_totals],1,Transactions[category],A15,Transactions[classification],"private",Transactions[amount],"&lt;0",Transactions[booking_date],"&gt;="&amp;EDATE(DATE(YEAR('Settings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15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15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5" s="12"/>
      <x:c r="I15" s="12"/>
      <x:c r="J15" s="1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Entertainment</x:v>
      </x:c>
      <x:c r="B16" s="2" t="str">
        <x:v>Variabel</x:v>
      </x:c>
      <x:c r="C16" s="2" t="str">
        <x:v>Nee</x:v>
      </x:c>
      <x:c r="D16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Assumptions'!$B$6),1),1)-1),"n.b.",-SUMIFS(Transactions[amount],Transactions[include_in_totals],1,Transactions[category],A16,Transactions[classification],"private",Transactions[amount],"&lt;0",Transactions[booking_date],"&gt;="&amp;EDATE(DATE(YEAR('Settings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6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Assumptions'!$B$6),1),0)-1),"n.b.",-SUMIFS(Transactions[amount],Transactions[include_in_totals],1,Transactions[category],A16,Transactions[classification],"private",Transactions[amount],"&lt;0",Transactions[booking_date],"&gt;="&amp;EDATE(DATE(YEAR('Settings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6" s="12" t="str">
        <x:f>IF(COUNT(D16:E16)&lt;2,"n.b.",D16-E16)</x:f>
        <x:v>n.b.</x:v>
      </x:c>
      <x:c r="G16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Assumptions'!$B$6),1)-1),"n.b.",(-SUMIFS(Transactions[amount],Transactions[include_in_totals],1,Transactions[category],A16,Transactions[classification],"private",Transactions[amount],"&lt;0",Transactions[booking_date],"&gt;="&amp;EDATE(DATE(YEAR('Settings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16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16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6" s="12"/>
      <x:c r="I16" s="12"/>
      <x:c r="J16" s="1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str">
        <x:v>Kleding</x:v>
      </x:c>
      <x:c r="B17" s="2" t="str">
        <x:v>Variabel</x:v>
      </x:c>
      <x:c r="C17" s="2" t="str">
        <x:v>Nee</x:v>
      </x:c>
      <x:c r="D17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Assumptions'!$B$6),1),1)-1),"n.b.",-SUMIFS(Transactions[amount],Transactions[include_in_totals],1,Transactions[category],A17,Transactions[classification],"private",Transactions[amount],"&lt;0",Transactions[booking_date],"&gt;="&amp;EDATE(DATE(YEAR('Settings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7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Assumptions'!$B$6),1),0)-1),"n.b.",-SUMIFS(Transactions[amount],Transactions[include_in_totals],1,Transactions[category],A17,Transactions[classification],"private",Transactions[amount],"&lt;0",Transactions[booking_date],"&gt;="&amp;EDATE(DATE(YEAR('Settings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7" s="12" t="str">
        <x:f>IF(COUNT(D17:E17)&lt;2,"n.b.",D17-E17)</x:f>
        <x:v>n.b.</x:v>
      </x:c>
      <x:c r="G17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Assumptions'!$B$6),1)-1),"n.b.",(-SUMIFS(Transactions[amount],Transactions[include_in_totals],1,Transactions[category],A17,Transactions[classification],"private",Transactions[amount],"&lt;0",Transactions[booking_date],"&gt;="&amp;EDATE(DATE(YEAR('Settings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17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17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7" s="12"/>
      <x:c r="I17" s="12"/>
      <x:c r="J17" s="1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v>Vervoer</x:v>
      </x:c>
      <x:c r="B18" s="2" t="str">
        <x:v>Variabel</x:v>
      </x:c>
      <x:c r="C18" s="2" t="str">
        <x:v>Nee</x:v>
      </x:c>
      <x:c r="D18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Assumptions'!$B$6),1),1)-1),"n.b.",-SUMIFS(Transactions[amount],Transactions[include_in_totals],1,Transactions[category],A18,Transactions[classification],"private",Transactions[amount],"&lt;0",Transactions[booking_date],"&gt;="&amp;EDATE(DATE(YEAR('Settings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8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Assumptions'!$B$6),1),0)-1),"n.b.",-SUMIFS(Transactions[amount],Transactions[include_in_totals],1,Transactions[category],A18,Transactions[classification],"private",Transactions[amount],"&lt;0",Transactions[booking_date],"&gt;="&amp;EDATE(DATE(YEAR('Settings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8" s="12" t="str">
        <x:f>IF(COUNT(D18:E18)&lt;2,"n.b.",D18-E18)</x:f>
        <x:v>n.b.</x:v>
      </x:c>
      <x:c r="G18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Assumptions'!$B$6),1)-1),"n.b.",(-SUMIFS(Transactions[amount],Transactions[include_in_totals],1,Transactions[category],A18,Transactions[classification],"private",Transactions[amount],"&lt;0",Transactions[booking_date],"&gt;="&amp;EDATE(DATE(YEAR('Settings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18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18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8" s="12"/>
      <x:c r="I18" s="12"/>
      <x:c r="J18" s="1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v>Persoonlijke aankopen</x:v>
      </x:c>
      <x:c r="B19" s="2" t="str">
        <x:v>Variabel</x:v>
      </x:c>
      <x:c r="C19" s="2" t="str">
        <x:v>Nee</x:v>
      </x:c>
      <x:c r="D19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Assumptions'!$B$6),1),1)-1),"n.b.",-SUMIFS(Transactions[amount],Transactions[include_in_totals],1,Transactions[category],A19,Transactions[classification],"private",Transactions[amount],"&lt;0",Transactions[booking_date],"&gt;="&amp;EDATE(DATE(YEAR('Settings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19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Assumptions'!$B$6),1),0)-1),"n.b.",-SUMIFS(Transactions[amount],Transactions[include_in_totals],1,Transactions[category],A19,Transactions[classification],"private",Transactions[amount],"&lt;0",Transactions[booking_date],"&gt;="&amp;EDATE(DATE(YEAR('Settings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19" s="12" t="str">
        <x:f>IF(COUNT(D19:E19)&lt;2,"n.b.",D19-E19)</x:f>
        <x:v>n.b.</x:v>
      </x:c>
      <x:c r="G19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Assumptions'!$B$6),1)-1),"n.b.",(-SUMIFS(Transactions[amount],Transactions[include_in_totals],1,Transactions[category],A19,Transactions[classification],"private",Transactions[amount],"&lt;0",Transactions[booking_date],"&gt;="&amp;EDATE(DATE(YEAR('Settings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19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19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19" s="12"/>
      <x:c r="I19" s="12"/>
      <x:c r="J19" s="1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v>Overig</x:v>
      </x:c>
      <x:c r="B20" s="2" t="str">
        <x:v>Variabel</x:v>
      </x:c>
      <x:c r="C20" s="2" t="str">
        <x:v>Nee</x:v>
      </x:c>
      <x:c r="D20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Assumptions'!$B$6),1),0),'Settings &amp; Assumptions'!$B$14&lt;EDATE(DATE(YEAR('Settings &amp; Assumptions'!$B$6),MONTH('Settings &amp; Assumptions'!$B$6),1),1)-1),"n.b.",-SUMIFS(Transactions[amount],Transactions[include_in_totals],1,Transactions[category],A20,Transactions[classification],"private",Transactions[amount],"&lt;0",Transactions[booking_date],"&gt;="&amp;EDATE(DATE(YEAR('Settings &amp; Assumptions'!$B$6),MONTH('Settings &amp; Assumptions'!$B$6),1),0),Transactions[booking_date],"&lt;"&amp;EDATE(EDATE(DATE(YEAR('Settings &amp; Assumptions'!$B$6),MONTH('Settings &amp; Assumptions'!$B$6),1),0),1),Transactions[currency],"EUR",Transactions[duplicate_status],""))</x:f>
        <x:v>n.b.</x:v>
      </x:c>
      <x:c r="E20" s="12" t="str">
        <x:f>IF(OR('Settings &amp; Assumptions'!$G$13&lt;&gt;1,NOT(ISNUMBER('Settings &amp; Assumptions'!$B$13)),NOT(ISNUMBER('Settings &amp; Assumptions'!$B$14)),'Settings &amp; Assumptions'!$B$13&gt;EDATE(DATE(YEAR('Settings &amp; Assumptions'!$B$6),MONTH('Settings &amp; Assumptions'!$B$6),1),-1),'Settings &amp; Assumptions'!$B$14&lt;EDATE(DATE(YEAR('Settings &amp; Assumptions'!$B$6),MONTH('Settings &amp; Assumptions'!$B$6),1),0)-1),"n.b.",-SUMIFS(Transactions[amount],Transactions[include_in_totals],1,Transactions[category],A20,Transactions[classification],"private",Transactions[amount],"&lt;0",Transactions[booking_date],"&gt;="&amp;EDATE(DATE(YEAR('Settings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Assumptions'!$B$6),1),-1),1),Transactions[currency],"EUR",Transactions[duplicate_status],""))</x:f>
        <x:v>n.b.</x:v>
      </x:c>
      <x:c r="F20" s="12" t="str">
        <x:f>IF(COUNT(D20:E20)&lt;2,"n.b.",D20-E20)</x:f>
        <x:v>n.b.</x:v>
      </x:c>
      <x:c r="G20" s="12" t="str">
        <x:f>IF(OR('Settings &amp; Assumptions'!$G$13&lt;&gt;1,NOT(ISNUMBER('Settings &amp; Assumptions'!$B$13)),'Settings &amp; Assumptions'!$B$13&gt;EDATE(DATE(YEAR('Settings &amp; Assumptions'!$B$6),MONTH('Settings &amp; Assumptions'!$B$6),1),-3),'Settings &amp; Assumptions'!$B$14&lt;DATE(YEAR('Settings &amp; Assumptions'!$B$6),MONTH('Settings &amp; Assumptions'!$B$6),1)-1),"n.b.",(-SUMIFS(Transactions[amount],Transactions[include_in_totals],1,Transactions[category],A20,Transactions[classification],"private",Transactions[amount],"&lt;0",Transactions[booking_date],"&gt;="&amp;EDATE(DATE(YEAR('Settings &amp; Assumptions'!$B$6),MONTH('Settings &amp; Assumptions'!$B$6),1),-1),Transactions[booking_date],"&lt;"&amp;EDATE(EDATE(DATE(YEAR('Settings &amp; Assumptions'!$B$6),MONTH('Settings &amp; Assumptions'!$B$6),1),-1),1),Transactions[currency],"EUR",Transactions[duplicate_status],"")+-SUMIFS(Transactions[amount],Transactions[include_in_totals],1,Transactions[category],A20,Transactions[classification],"private",Transactions[amount],"&lt;0",Transactions[booking_date],"&gt;="&amp;EDATE(DATE(YEAR('Settings &amp; Assumptions'!$B$6),MONTH('Settings &amp; Assumptions'!$B$6),1),-2),Transactions[booking_date],"&lt;"&amp;EDATE(EDATE(DATE(YEAR('Settings &amp; Assumptions'!$B$6),MONTH('Settings &amp; Assumptions'!$B$6),1),-2),1),Transactions[currency],"EUR",Transactions[duplicate_status],"")+-SUMIFS(Transactions[amount],Transactions[include_in_totals],1,Transactions[category],A20,Transactions[classification],"private",Transactions[amount],"&lt;0",Transactions[booking_date],"&gt;="&amp;EDATE(DATE(YEAR('Settings &amp; Assumptions'!$B$6),MONTH('Settings &amp; Assumptions'!$B$6),1),-3),Transactions[booking_date],"&lt;"&amp;EDATE(EDATE(DATE(YEAR('Settings &amp; Assumptions'!$B$6),MONTH('Settings &amp; Assumptions'!$B$6),1),-3),1),Transactions[currency],"EUR",Transactions[duplicate_status],""))/3)</x:f>
        <x:v>n.b.</x:v>
      </x:c>
      <x:c r="H20" s="12"/>
      <x:c r="I20" s="12"/>
      <x:c r="J20" s="1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N2:P2"/>
  </x:mergeCells>
  <x:pageMargins left="0.7" right="0.7" top="0.75" bottom="0.75" header="0.3" footer="0.3"/>
  <x:tableParts count="1">
    <x:tablePart xmlns:r="http://schemas.openxmlformats.org/officeDocument/2006/relationships" r:id="R813a25c81c6d4787"/>
  </x:tableParts>
</x:worksheet>
</file>

<file path=xl/worksheets/sheet9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Terugkerende verplichtingen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Registreer bevestigde abonnementen en vaste lasten. Gelijke leveranciers zijn een controlesignaal, geen bewezen dubbel abonnement.</x:v>
      </x:c>
      <x:c r="B3" s="5" t="str">
        <x:v>Registreer bevestigde abonnementen en vaste lasten. Gelijke leveranciers zijn een controlesignaal, geen bewezen dubbel abonnement.</x:v>
      </x:c>
      <x:c r="C3" s="5" t="str">
        <x:v>Registreer bevestigde abonnementen en vaste lasten. Gelijke leveranciers zijn een controlesignaal, geen bewezen dubbel abonnement.</x:v>
      </x:c>
      <x:c r="D3" s="5" t="str">
        <x:v>Registreer bevestigde abonnementen en vaste lasten. Gelijke leveranciers zijn een controlesignaal, geen bewezen dubbel abonnement.</x:v>
      </x:c>
      <x:c r="E3" s="5" t="str">
        <x:v>Registreer bevestigde abonnementen en vaste lasten. Gelijke leveranciers zijn een controlesignaal, geen bewezen dubbel abonnement.</x:v>
      </x:c>
      <x:c r="F3" s="5" t="str">
        <x:v>Registreer bevestigde abonnementen en vaste lasten. Gelijke leveranciers zijn een controlesignaal, geen bewezen dubbel abonnement.</x:v>
      </x:c>
      <x:c r="G3" s="5" t="str">
        <x:v>Registreer bevestigde abonnementen en vaste lasten. Gelijke leveranciers zijn een controlesignaal, geen bewezen dubbel abonnement.</x:v>
      </x:c>
      <x:c r="H3" s="5" t="str">
        <x:v>Registreer bevestigde abonnementen en vaste lasten. Gelijke leveranciers zijn een controlesignaal, geen bewezen dubbel abonnement.</x:v>
      </x:c>
      <x:c r="I3" s="5" t="str">
        <x:v>Registreer bevestigde abonnementen en vaste lasten. Gelijke leveranciers zijn een controlesignaal, geen bewezen dubbel abonnement.</x:v>
      </x:c>
      <x:c r="J3" s="5" t="str">
        <x:v>Registreer bevestigde abonnementen en vaste lasten. Gelijke leveranciers zijn een controlesignaal, geen bewezen dubbel abonnement.</x:v>
      </x:c>
      <x:c r="K3" s="5" t="str">
        <x:v>Registreer bevestigde abonnementen en vaste lasten. Gelijke leveranciers zijn een controlesignaal, geen bewezen dubbel abonnement.</x:v>
      </x:c>
      <x:c r="L3" s="5" t="str">
        <x:v>Registreer bevestigde abonnementen en vaste lasten. Gelijke leveranciers zijn een controlesignaal, geen bewezen dubbel abonnement.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id</x:v>
      </x:c>
      <x:c r="B5" s="8" t="str">
        <x:v>Leverancier</x:v>
      </x:c>
      <x:c r="C5" s="8" t="str">
        <x:v>Classificatie</x:v>
      </x:c>
      <x:c r="D5" s="8" t="str">
        <x:v>Categorie</x:v>
      </x:c>
      <x:c r="E5" s="8" t="str">
        <x:v>Bedrag</x:v>
      </x:c>
      <x:c r="F5" s="8" t="str">
        <x:v>Maanden per betaling</x:v>
      </x:c>
      <x:c r="G5" s="8" t="str">
        <x:v>Maandbedrag</x:v>
      </x:c>
      <x:c r="H5" s="8" t="str">
        <x:v>Volgende betaling</x:v>
      </x:c>
      <x:c r="I5" s="8" t="str">
        <x:v>Actief</x:v>
      </x:c>
      <x:c r="J5" s="8" t="str">
        <x:v>Opzegdatum</x:v>
      </x:c>
      <x:c r="K5" s="8" t="str">
        <x:v>Controle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/>
      <x:c r="B6" s="2"/>
      <x:c r="C6" s="2"/>
      <x:c r="D6" s="2"/>
      <x:c r="E6" s="2"/>
      <x:c r="F6" s="2"/>
      <x:c r="G6" s="2" t="str">
        <x:f>IF(A6="","",IF(OR(E6="",F6&lt;=0),"n.b.",E6/F6))</x:f>
      </x:c>
      <x:c r="H6" s="2"/>
      <x:c r="I6" s="2"/>
      <x:c r="J6" s="2"/>
      <x:c r="K6" s="2" t="str">
        <x:f>IF(A6="","",IF(COUNTIFS(Recurring[Leverancier],B6,Recurring[Actief],"Ja")&gt;1,"Controleer overlap",""))</x:f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/>
      <x:c r="B7" s="2"/>
      <x:c r="C7" s="2"/>
      <x:c r="D7" s="2"/>
      <x:c r="E7" s="2"/>
      <x:c r="F7" s="2"/>
      <x:c r="G7" s="2" t="str">
        <x:f>IF(A7="","",IF(OR(E7="",F7&lt;=0),"n.b.",E7/F7))</x:f>
      </x:c>
      <x:c r="H7" s="2"/>
      <x:c r="I7" s="2"/>
      <x:c r="J7" s="2"/>
      <x:c r="K7" s="2" t="str">
        <x:f>IF(A7="","",IF(COUNTIFS(Recurring[Leverancier],B7,Recurring[Actief],"Ja")&gt;1,"Controleer overlap",""))</x:f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/>
      <x:c r="B8" s="2"/>
      <x:c r="C8" s="2"/>
      <x:c r="D8" s="2"/>
      <x:c r="E8" s="2"/>
      <x:c r="F8" s="2"/>
      <x:c r="G8" s="2" t="str">
        <x:f>IF(A8="","",IF(OR(E8="",F8&lt;=0),"n.b.",E8/F8))</x:f>
      </x:c>
      <x:c r="H8" s="2"/>
      <x:c r="I8" s="2"/>
      <x:c r="J8" s="2"/>
      <x:c r="K8" s="2" t="str">
        <x:f>IF(A8="","",IF(COUNTIFS(Recurring[Leverancier],B8,Recurring[Actief],"Ja")&gt;1,"Controleer overlap",""))</x:f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/>
      <x:c r="B9" s="2"/>
      <x:c r="C9" s="2"/>
      <x:c r="D9" s="2"/>
      <x:c r="E9" s="2"/>
      <x:c r="F9" s="2"/>
      <x:c r="G9" s="2" t="str">
        <x:f>IF(A9="","",IF(OR(E9="",F9&lt;=0),"n.b.",E9/F9))</x:f>
      </x:c>
      <x:c r="H9" s="2"/>
      <x:c r="I9" s="2"/>
      <x:c r="J9" s="2"/>
      <x:c r="K9" s="2" t="str">
        <x:f>IF(A9="","",IF(COUNTIFS(Recurring[Leverancier],B9,Recurring[Actief],"Ja")&gt;1,"Controleer overlap",""))</x:f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/>
      <x:c r="B10" s="2"/>
      <x:c r="C10" s="2"/>
      <x:c r="D10" s="2"/>
      <x:c r="E10" s="2"/>
      <x:c r="F10" s="2"/>
      <x:c r="G10" s="2" t="str">
        <x:f>IF(A10="","",IF(OR(E10="",F10&lt;=0),"n.b.",E10/F10))</x:f>
      </x:c>
      <x:c r="H10" s="2"/>
      <x:c r="I10" s="2"/>
      <x:c r="J10" s="2"/>
      <x:c r="K10" s="2" t="str">
        <x:f>IF(A10="","",IF(COUNTIFS(Recurring[Leverancier],B10,Recurring[Actief],"Ja")&gt;1,"Controleer overlap",""))</x:f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/>
      <x:c r="B11" s="2"/>
      <x:c r="C11" s="2"/>
      <x:c r="D11" s="2"/>
      <x:c r="E11" s="2"/>
      <x:c r="F11" s="2"/>
      <x:c r="G11" s="2" t="str">
        <x:f>IF(A11="","",IF(OR(E11="",F11&lt;=0),"n.b.",E11/F11))</x:f>
      </x:c>
      <x:c r="H11" s="2"/>
      <x:c r="I11" s="2"/>
      <x:c r="J11" s="2"/>
      <x:c r="K11" s="2" t="str">
        <x:f>IF(A11="","",IF(COUNTIFS(Recurring[Leverancier],B11,Recurring[Actief],"Ja")&gt;1,"Controleer overlap",""))</x:f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/>
      <x:c r="B12" s="2"/>
      <x:c r="C12" s="2"/>
      <x:c r="D12" s="2"/>
      <x:c r="E12" s="2"/>
      <x:c r="F12" s="2"/>
      <x:c r="G12" s="2" t="str">
        <x:f>IF(A12="","",IF(OR(E12="",F12&lt;=0),"n.b.",E12/F12))</x:f>
      </x:c>
      <x:c r="H12" s="2"/>
      <x:c r="I12" s="2"/>
      <x:c r="J12" s="2"/>
      <x:c r="K12" s="2" t="str">
        <x:f>IF(A12="","",IF(COUNTIFS(Recurring[Leverancier],B12,Recurring[Actief],"Ja")&gt;1,"Controleer overlap",""))</x:f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/>
      <x:c r="B13" s="2"/>
      <x:c r="C13" s="2"/>
      <x:c r="D13" s="2"/>
      <x:c r="E13" s="2"/>
      <x:c r="F13" s="2"/>
      <x:c r="G13" s="2" t="str">
        <x:f>IF(A13="","",IF(OR(E13="",F13&lt;=0),"n.b.",E13/F13))</x:f>
      </x:c>
      <x:c r="H13" s="2"/>
      <x:c r="I13" s="2"/>
      <x:c r="J13" s="2"/>
      <x:c r="K13" s="2" t="str">
        <x:f>IF(A13="","",IF(COUNTIFS(Recurring[Leverancier],B13,Recurring[Actief],"Ja")&gt;1,"Controleer overlap",""))</x:f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/>
      <x:c r="B14" s="2"/>
      <x:c r="C14" s="2"/>
      <x:c r="D14" s="2"/>
      <x:c r="E14" s="2"/>
      <x:c r="F14" s="2"/>
      <x:c r="G14" s="2" t="str">
        <x:f>IF(A14="","",IF(OR(E14="",F14&lt;=0),"n.b.",E14/F14))</x:f>
      </x:c>
      <x:c r="H14" s="2"/>
      <x:c r="I14" s="2"/>
      <x:c r="J14" s="2"/>
      <x:c r="K14" s="2" t="str">
        <x:f>IF(A14="","",IF(COUNTIFS(Recurring[Leverancier],B14,Recurring[Actief],"Ja")&gt;1,"Controleer overlap",""))</x:f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/>
      <x:c r="B15" s="2"/>
      <x:c r="C15" s="2"/>
      <x:c r="D15" s="2"/>
      <x:c r="E15" s="2"/>
      <x:c r="F15" s="2"/>
      <x:c r="G15" s="2" t="str">
        <x:f>IF(A15="","",IF(OR(E15="",F15&lt;=0),"n.b.",E15/F15))</x:f>
      </x:c>
      <x:c r="H15" s="2"/>
      <x:c r="I15" s="2"/>
      <x:c r="J15" s="2"/>
      <x:c r="K15" s="2" t="str">
        <x:f>IF(A15="","",IF(COUNTIFS(Recurring[Leverancier],B15,Recurring[Actief],"Ja")&gt;1,"Controleer overlap",""))</x:f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/>
      <x:c r="B16" s="2"/>
      <x:c r="C16" s="2"/>
      <x:c r="D16" s="2"/>
      <x:c r="E16" s="2"/>
      <x:c r="F16" s="2"/>
      <x:c r="G16" s="2" t="str">
        <x:f>IF(A16="","",IF(OR(E16="",F16&lt;=0),"n.b.",E16/F16))</x:f>
      </x:c>
      <x:c r="H16" s="2"/>
      <x:c r="I16" s="2"/>
      <x:c r="J16" s="2"/>
      <x:c r="K16" s="2" t="str">
        <x:f>IF(A16="","",IF(COUNTIFS(Recurring[Leverancier],B16,Recurring[Actief],"Ja")&gt;1,"Controleer overlap",""))</x:f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2"/>
      <x:c r="C17" s="2"/>
      <x:c r="D17" s="2"/>
      <x:c r="E17" s="2"/>
      <x:c r="F17" s="2"/>
      <x:c r="G17" s="2" t="str">
        <x:f>IF(A17="","",IF(OR(E17="",F17&lt;=0),"n.b.",E17/F17))</x:f>
      </x:c>
      <x:c r="H17" s="2"/>
      <x:c r="I17" s="2"/>
      <x:c r="J17" s="2"/>
      <x:c r="K17" s="2" t="str">
        <x:f>IF(A17="","",IF(COUNTIFS(Recurring[Leverancier],B17,Recurring[Actief],"Ja")&gt;1,"Controleer overlap",""))</x:f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2"/>
      <x:c r="C18" s="2"/>
      <x:c r="D18" s="2"/>
      <x:c r="E18" s="2"/>
      <x:c r="F18" s="2"/>
      <x:c r="G18" s="2" t="str">
        <x:f>IF(A18="","",IF(OR(E18="",F18&lt;=0),"n.b.",E18/F18))</x:f>
      </x:c>
      <x:c r="H18" s="2"/>
      <x:c r="I18" s="2"/>
      <x:c r="J18" s="2"/>
      <x:c r="K18" s="2" t="str">
        <x:f>IF(A18="","",IF(COUNTIFS(Recurring[Leverancier],B18,Recurring[Actief],"Ja")&gt;1,"Controleer overlap",""))</x:f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/>
      <x:c r="B19" s="2"/>
      <x:c r="C19" s="2"/>
      <x:c r="D19" s="2"/>
      <x:c r="E19" s="2"/>
      <x:c r="F19" s="2"/>
      <x:c r="G19" s="2" t="str">
        <x:f>IF(A19="","",IF(OR(E19="",F19&lt;=0),"n.b.",E19/F19))</x:f>
      </x:c>
      <x:c r="H19" s="2"/>
      <x:c r="I19" s="2"/>
      <x:c r="J19" s="2"/>
      <x:c r="K19" s="2" t="str">
        <x:f>IF(A19="","",IF(COUNTIFS(Recurring[Leverancier],B19,Recurring[Actief],"Ja")&gt;1,"Controleer overlap",""))</x:f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2"/>
      <x:c r="C20" s="2"/>
      <x:c r="D20" s="2"/>
      <x:c r="E20" s="2"/>
      <x:c r="F20" s="2"/>
      <x:c r="G20" s="2" t="str">
        <x:f>IF(A20="","",IF(OR(E20="",F20&lt;=0),"n.b.",E20/F20))</x:f>
      </x:c>
      <x:c r="H20" s="2"/>
      <x:c r="I20" s="2"/>
      <x:c r="J20" s="2"/>
      <x:c r="K20" s="2" t="str">
        <x:f>IF(A20="","",IF(COUNTIFS(Recurring[Leverancier],B20,Recurring[Actief],"Ja")&gt;1,"Controleer overlap",""))</x:f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 t="str">
        <x:f>IF(A21="","",IF(OR(E21="",F21&lt;=0),"n.b.",E21/F21))</x:f>
      </x:c>
      <x:c r="H21" s="2"/>
      <x:c r="I21" s="2"/>
      <x:c r="J21" s="2"/>
      <x:c r="K21" s="2" t="str">
        <x:f>IF(A21="","",IF(COUNTIFS(Recurring[Leverancier],B21,Recurring[Actief],"Ja")&gt;1,"Controleer overlap",""))</x:f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 t="str">
        <x:f>IF(A22="","",IF(OR(E22="",F22&lt;=0),"n.b.",E22/F22))</x:f>
      </x:c>
      <x:c r="H22" s="2"/>
      <x:c r="I22" s="2"/>
      <x:c r="J22" s="2"/>
      <x:c r="K22" s="2" t="str">
        <x:f>IF(A22="","",IF(COUNTIFS(Recurring[Leverancier],B22,Recurring[Actief],"Ja")&gt;1,"Controleer overlap",""))</x:f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 t="str">
        <x:f>IF(A23="","",IF(OR(E23="",F23&lt;=0),"n.b.",E23/F23))</x:f>
      </x:c>
      <x:c r="H23" s="2"/>
      <x:c r="I23" s="2"/>
      <x:c r="J23" s="2"/>
      <x:c r="K23" s="2" t="str">
        <x:f>IF(A23="","",IF(COUNTIFS(Recurring[Leverancier],B23,Recurring[Actief],"Ja")&gt;1,"Controleer overlap",""))</x:f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 t="str">
        <x:f>IF(A24="","",IF(OR(E24="",F24&lt;=0),"n.b.",E24/F24))</x:f>
      </x:c>
      <x:c r="H24" s="2"/>
      <x:c r="I24" s="2"/>
      <x:c r="J24" s="2"/>
      <x:c r="K24" s="2" t="str">
        <x:f>IF(A24="","",IF(COUNTIFS(Recurring[Leverancier],B24,Recurring[Actief],"Ja")&gt;1,"Controleer overlap",""))</x:f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 t="str">
        <x:f>IF(A25="","",IF(OR(E25="",F25&lt;=0),"n.b.",E25/F25))</x:f>
      </x:c>
      <x:c r="H25" s="2"/>
      <x:c r="I25" s="2"/>
      <x:c r="J25" s="2"/>
      <x:c r="K25" s="2" t="str">
        <x:f>IF(A25="","",IF(COUNTIFS(Recurring[Leverancier],B25,Recurring[Actief],"Ja")&gt;1,"Controleer overlap",""))</x:f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N2:P2"/>
  </x:mergeCells>
  <x:pageMargins left="0.7" right="0.7" top="0.75" bottom="0.75" header="0.3" footer="0.3"/>
  <x:tableParts count="1">
    <x:tablePart xmlns:r="http://schemas.openxmlformats.org/officeDocument/2006/relationships" r:id="R77a1abdd8650493b"/>
  </x:tableParts>
</x:worksheet>
</file>

<file path=xl/worksheets/sheet10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8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Nederlandse belastingen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Raming 2026 vóór AOW. Heffingskortingen, KIA en overige inkomsten zijn expliciete persoonlijke invoer. Prognosejaren gebruiken een aparte reserveaanname.</x:v>
      </x:c>
      <x:c r="B3" s="5" t="str">
        <x:v>Raming 2026 vóór AOW. Heffingskortingen, KIA en overige inkomsten zijn expliciete persoonlijke invoer. Prognosejaren gebruiken een aparte reserveaanname.</x:v>
      </x:c>
      <x:c r="C3" s="5" t="str">
        <x:v>Raming 2026 vóór AOW. Heffingskortingen, KIA en overige inkomsten zijn expliciete persoonlijke invoer. Prognosejaren gebruiken een aparte reserveaanname.</x:v>
      </x:c>
      <x:c r="D3" s="5" t="str">
        <x:v>Raming 2026 vóór AOW. Heffingskortingen, KIA en overige inkomsten zijn expliciete persoonlijke invoer. Prognosejaren gebruiken een aparte reserveaanname.</x:v>
      </x:c>
      <x:c r="E3" s="5" t="str">
        <x:v>Raming 2026 vóór AOW. Heffingskortingen, KIA en overige inkomsten zijn expliciete persoonlijke invoer. Prognosejaren gebruiken een aparte reserveaanname.</x:v>
      </x:c>
      <x:c r="F3" s="5" t="str">
        <x:v>Raming 2026 vóór AOW. Heffingskortingen, KIA en overige inkomsten zijn expliciete persoonlijke invoer. Prognosejaren gebruiken een aparte reserveaanname.</x:v>
      </x:c>
      <x:c r="G3" s="5" t="str">
        <x:v>Raming 2026 vóór AOW. Heffingskortingen, KIA en overige inkomsten zijn expliciete persoonlijke invoer. Prognosejaren gebruiken een aparte reserveaanname.</x:v>
      </x:c>
      <x:c r="H3" s="5" t="str">
        <x:v>Raming 2026 vóór AOW. Heffingskortingen, KIA en overige inkomsten zijn expliciete persoonlijke invoer. Prognosejaren gebruiken een aparte reserveaanname.</x:v>
      </x:c>
      <x:c r="I3" s="5" t="str">
        <x:v>Raming 2026 vóór AOW. Heffingskortingen, KIA en overige inkomsten zijn expliciete persoonlijke invoer. Prognosejaren gebruiken een aparte reserveaanname.</x:v>
      </x:c>
      <x:c r="J3" s="5" t="str">
        <x:v>Raming 2026 vóór AOW. Heffingskortingen, KIA en overige inkomsten zijn expliciete persoonlijke invoer. Prognosejaren gebruiken een aparte reserveaanname.</x:v>
      </x:c>
      <x:c r="K3" s="5" t="str">
        <x:v>Raming 2026 vóór AOW. Heffingskortingen, KIA en overige inkomsten zijn expliciete persoonlijke invoer. Prognosejaren gebruiken een aparte reserveaanname.</x:v>
      </x:c>
      <x:c r="L3" s="5" t="str">
        <x:v>Raming 2026 vóór AOW. Heffingskortingen, KIA en overige inkomsten zijn expliciete persoonlijke invoer. Prognosejaren gebruiken een aparte reserveaanname.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 t="str">
        <x:v>Parameter 2026</x:v>
      </x:c>
      <x:c r="K5" s="2" t="str">
        <x:v>Waarde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Jaarwinst vóór aftrek</x:v>
      </x:c>
      <x:c r="B6" s="2"/>
      <x:c r="C6" s="2"/>
      <x:c r="D6" s="2"/>
      <x:c r="E6" s="16" t="str">
        <x:f>IF(OR('Settings &amp; Assumptions'!$B$48&lt;&gt;1,'Settings &amp; Assumptions'!$B$7&lt;&gt;2026,COUNT('Settings &amp; Assumptions'!$B$36:'Settings &amp; Assumptions'!$B$39)&lt;4),"n.b.",'Settings &amp; Assumptions'!$B$38-'Settings &amp; Assumptions'!$B$37+'Settings &amp; Assumptions'!$B$36)</x:f>
        <x:v>n.b.</x:v>
      </x:c>
      <x:c r="F6" s="2"/>
      <x:c r="G6" s="2"/>
      <x:c r="H6" s="2"/>
      <x:c r="I6" s="2"/>
      <x:c r="J6" s="2" t="str">
        <x:v>Schijf 1 grens</x:v>
      </x:c>
      <x:c r="K6" s="9" t="n">
        <x:v>38883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Ondernemersaftrek</x:v>
      </x:c>
      <x:c r="B7" s="2"/>
      <x:c r="C7" s="2"/>
      <x:c r="D7" s="2"/>
      <x:c r="E7" s="16" t="str">
        <x:f>IF(AND(ISNUMBER(E6),ISNUMBER('Settings &amp; Assumptions'!$B$43)),IF(AND('Settings &amp; Assumptions'!$B$40=1,'Settings &amp; Assumptions'!$B$41=1),K11+K12,MIN(MAX(0,E6-'Settings &amp; Assumptions'!$B$43),'Settings &amp; Assumptions'!$B$40*K11)),"n.b.")</x:f>
        <x:v>n.b.</x:v>
      </x:c>
      <x:c r="F7" s="2"/>
      <x:c r="G7" s="2"/>
      <x:c r="H7" s="2"/>
      <x:c r="I7" s="2"/>
      <x:c r="J7" s="2" t="str">
        <x:v>Schijf 2 grens</x:v>
      </x:c>
      <x:c r="K7" s="9" t="n">
        <x:v>78426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Na ondernemersaftrek en KIA</x:v>
      </x:c>
      <x:c r="B8" s="2"/>
      <x:c r="C8" s="2"/>
      <x:c r="D8" s="2"/>
      <x:c r="E8" s="16" t="str">
        <x:f>IF(OR(NOT(ISNUMBER(E7)),NOT(ISNUMBER('Settings &amp; Assumptions'!$B$43))),"n.b.",E6-E7-'Settings &amp; Assumptions'!$B$43)</x:f>
        <x:v>n.b.</x:v>
      </x:c>
      <x:c r="F8" s="2"/>
      <x:c r="G8" s="2"/>
      <x:c r="H8" s="2"/>
      <x:c r="I8" s="2"/>
      <x:c r="J8" s="2" t="str">
        <x:v>Tarief 1</x:v>
      </x:c>
      <x:c r="K8" s="20" t="n">
        <x:v>0.3575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MKB-winstvrijstelling</x:v>
      </x:c>
      <x:c r="B9" s="2"/>
      <x:c r="C9" s="2"/>
      <x:c r="D9" s="2"/>
      <x:c r="E9" s="16" t="str">
        <x:f>IF(ISNUMBER(E8),E8*K13*'Settings &amp; Assumptions'!$B$42,"n.b.")</x:f>
        <x:v>n.b.</x:v>
      </x:c>
      <x:c r="F9" s="2"/>
      <x:c r="G9" s="2"/>
      <x:c r="H9" s="2"/>
      <x:c r="I9" s="2"/>
      <x:c r="J9" s="2" t="str">
        <x:v>Tarief 2</x:v>
      </x:c>
      <x:c r="K9" s="20" t="n">
        <x:v>0.3756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Belastbare ondernemingswinst</x:v>
      </x:c>
      <x:c r="B10" s="2"/>
      <x:c r="C10" s="2"/>
      <x:c r="D10" s="2"/>
      <x:c r="E10" s="16" t="str">
        <x:f>IF(COUNT(E8:E9)&lt;2,"n.b.",E8-E9)</x:f>
        <x:v>n.b.</x:v>
      </x:c>
      <x:c r="F10" s="2"/>
      <x:c r="G10" s="2"/>
      <x:c r="H10" s="2"/>
      <x:c r="I10" s="2"/>
      <x:c r="J10" s="2" t="str">
        <x:v>Tarief 3</x:v>
      </x:c>
      <x:c r="K10" s="20" t="n">
        <x:v>0.495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Totaal box 1</x:v>
      </x:c>
      <x:c r="B11" s="2"/>
      <x:c r="C11" s="2"/>
      <x:c r="D11" s="2"/>
      <x:c r="E11" s="16" t="str">
        <x:f>IF(ISNUMBER(E10),MAX(0,E10+'Settings &amp; Assumptions'!$B$39),"n.b.")</x:f>
        <x:v>n.b.</x:v>
      </x:c>
      <x:c r="F11" s="2"/>
      <x:c r="G11" s="2"/>
      <x:c r="H11" s="2"/>
      <x:c r="I11" s="2"/>
      <x:c r="J11" s="2" t="str">
        <x:v>Zelfstandigenaftrek</x:v>
      </x:c>
      <x:c r="K11" s="9" t="n">
        <x:v>1200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IB vóór heffingskortingen</x:v>
      </x:c>
      <x:c r="B12" s="2"/>
      <x:c r="C12" s="2"/>
      <x:c r="D12" s="2"/>
      <x:c r="E12" s="16" t="str">
        <x:f>IF(ISNUMBER(E11),MIN(E11,K6)*K8+MAX(0,MIN(E11,K7)-K6)*K9+MAX(0,E11-K7)*K10,"n.b.")</x:f>
        <x:v>n.b.</x:v>
      </x:c>
      <x:c r="F12" s="2"/>
      <x:c r="G12" s="2"/>
      <x:c r="H12" s="2"/>
      <x:c r="I12" s="2"/>
      <x:c r="J12" s="2" t="str">
        <x:v>Startersaftrek</x:v>
      </x:c>
      <x:c r="K12" s="9" t="n">
        <x:v>2123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Tariefcorrectie aftrek</x:v>
      </x:c>
      <x:c r="B13" s="2"/>
      <x:c r="C13" s="2"/>
      <x:c r="D13" s="2"/>
      <x:c r="E13" s="16" t="str">
        <x:f>IF(ISNUMBER(E11),MIN(MAX(0,E6+'Settings &amp; Assumptions'!$B$39-'Settings &amp; Assumptions'!$B$43-K7),MAX(0,E7+E9))*(K10-K9),"n.b.")</x:f>
        <x:v>n.b.</x:v>
      </x:c>
      <x:c r="F13" s="2"/>
      <x:c r="G13" s="2"/>
      <x:c r="H13" s="2"/>
      <x:c r="I13" s="2"/>
      <x:c r="J13" s="2" t="str">
        <x:v>MKB-vrijstelling</x:v>
      </x:c>
      <x:c r="K13" s="20" t="n">
        <x:v>0.127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IB na heffingskortingen</x:v>
      </x:c>
      <x:c r="B14" s="2"/>
      <x:c r="C14" s="2"/>
      <x:c r="D14" s="2"/>
      <x:c r="E14" s="16" t="str">
        <x:f>IF(OR(NOT(ISNUMBER(E12)),NOT(ISNUMBER('Settings &amp; Assumptions'!$B$44))),"n.b.",MAX(0,E12+E13-'Settings &amp; Assumptions'!$B$44))</x:f>
        <x:v>n.b.</x:v>
      </x:c>
      <x:c r="F14" s="2"/>
      <x:c r="G14" s="2"/>
      <x:c r="H14" s="2"/>
      <x:c r="I14" s="2"/>
      <x:c r="J14" s="2" t="str">
        <x:v>Zvw tarief</x:v>
      </x:c>
      <x:c r="K14" s="20" t="n">
        <x:v>0.0485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Zvw raming</x:v>
      </x:c>
      <x:c r="B15" s="2"/>
      <x:c r="C15" s="2"/>
      <x:c r="D15" s="2"/>
      <x:c r="E15" s="16" t="str">
        <x:f>IF(ISNUMBER(E10),MAX(0,MIN(E10,K15))*K14,"n.b.")</x:f>
        <x:v>n.b.</x:v>
      </x:c>
      <x:c r="F15" s="2"/>
      <x:c r="G15" s="2"/>
      <x:c r="H15" s="2"/>
      <x:c r="I15" s="2"/>
      <x:c r="J15" s="2" t="str">
        <x:v>Zvw maximum</x:v>
      </x:c>
      <x:c r="K15" s="9" t="n">
        <x:v>79409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Resterende IB + Zvw</x:v>
      </x:c>
      <x:c r="B16" s="2"/>
      <x:c r="C16" s="2"/>
      <x:c r="D16" s="2"/>
      <x:c r="E16" s="16" t="str">
        <x:f>IF(OR(COUNT(E14:E15)&lt;2,NOT(ISNUMBER('Settings &amp; Assumptions'!$B$45))),"n.b.",MAX(0,E14+E15-'Settings &amp; Assumptions'!$B$45))</x:f>
        <x:v>n.b.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str">
        <x:v>Resterende btw</x:v>
      </x:c>
      <x:c r="B17" s="2"/>
      <x:c r="C17" s="2"/>
      <x:c r="D17" s="2"/>
      <x:c r="E17" s="16" t="str">
        <x:f>IF(OR('Settings &amp; Assumptions'!$G$14&lt;&gt;1,'Settings &amp; Assumptions'!$G$15&lt;&gt;1,COUNT(H26:H29)&lt;4,NOT(ISNUMBER('Settings &amp; Assumptions'!$B$46))),"n.b.",MAX(0,SUM(H26:H29)+'Settings &amp; Assumptions'!$B$46))</x:f>
        <x:v>n.b.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v>Totale belastingverplichting</x:v>
      </x:c>
      <x:c r="B18" s="2"/>
      <x:c r="C18" s="2"/>
      <x:c r="D18" s="2"/>
      <x:c r="E18" s="16" t="str">
        <x:f>IF(OR(COUNT(E16:E17)&lt;2,NOT(ISNUMBER('Settings &amp; Assumptions'!$B$47))),"n.b.",SUM(E16:E17)+'Settings &amp; Assumptions'!$B$47)</x:f>
        <x:v>n.b.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v>Tekort belastingpot</x:v>
      </x:c>
      <x:c r="B19" s="2"/>
      <x:c r="C19" s="2"/>
      <x:c r="D19" s="2"/>
      <x:c r="E19" s="16" t="str">
        <x:f>IF(OR(NOT(ISNUMBER(E18)),NOT(ISNUMBER('Settings &amp; Assumptions'!$B$27))),"n.b.",MAX(0,E18-'Settings &amp; Assumptions'!$B$27))</x:f>
        <x:v>n.b.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40" customHeight="1">
      <x:c r="A25" s="8" t="str">
        <x:v>Kwartaal</x:v>
      </x:c>
      <x:c r="B25" s="8" t="str">
        <x:v>Omzet 21%</x:v>
      </x:c>
      <x:c r="C25" s="8" t="str">
        <x:v>Omzet 9%</x:v>
      </x:c>
      <x:c r="D25" s="8" t="str">
        <x:v>Omzet 0%</x:v>
      </x:c>
      <x:c r="E25" s="8" t="str">
        <x:v>Omzet verlegd</x:v>
      </x:c>
      <x:c r="F25" s="8" t="str">
        <x:v>Btw saldo</x:v>
      </x:c>
      <x:c r="G25" s="8" t="str">
        <x:v>Btw betaald</x:v>
      </x:c>
      <x:c r="H25" s="8" t="str">
        <x:v>Resterend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14" t="n">
        <x:v>46023</x:v>
      </x:c>
      <x:c r="B26" s="2" t="str">
        <x:f>IF('Settings &amp; Assumptions'!$G$14&lt;&gt;1,"n.b.",SUMIFS(Invoices[amount_excl],Invoices[date],"&gt;="&amp;A26,Invoices[date],"&lt;"&amp;EDATE(A26,3),Invoices[vat_treatment],"21%",Invoices[status],"&lt;&gt;concept",Invoices[status],"&lt;&gt;geannuleerd"))</x:f>
        <x:v>n.b.</x:v>
      </x:c>
      <x:c r="C26" s="2" t="str">
        <x:f>IF('Settings &amp; Assumptions'!$G$14&lt;&gt;1,"n.b.",SUMIFS(Invoices[amount_excl],Invoices[date],"&gt;="&amp;A26,Invoices[date],"&lt;"&amp;EDATE(A26,3),Invoices[vat_treatment],"9%",Invoices[status],"&lt;&gt;concept",Invoices[status],"&lt;&gt;geannuleerd"))</x:f>
        <x:v>n.b.</x:v>
      </x:c>
      <x:c r="D26" s="2" t="str">
        <x:f>IF('Settings &amp; Assumptions'!$G$14&lt;&gt;1,"n.b.",SUMIFS(Invoices[amount_excl],Invoices[date],"&gt;="&amp;A26,Invoices[date],"&lt;"&amp;EDATE(A26,3),Invoices[vat_treatment],"0%",Invoices[status],"&lt;&gt;concept",Invoices[status],"&lt;&gt;geannuleerd"))</x:f>
        <x:v>n.b.</x:v>
      </x:c>
      <x:c r="E26" s="2" t="str">
        <x:f>IF('Settings &amp; Assumptions'!$G$14&lt;&gt;1,"n.b.",SUMIFS(Invoices[amount_excl],Invoices[date],"&gt;="&amp;A26,Invoices[date],"&lt;"&amp;EDATE(A26,3),Invoices[vat_treatment],"reverse",Invoices[status],"&lt;&gt;concept",Invoices[status],"&lt;&gt;geannuleerd"))</x:f>
        <x:v>n.b.</x:v>
      </x:c>
      <x:c r="F26" s="2" t="str">
        <x:f>IF(OR('Settings &amp; Assumptions'!$G$14&lt;&gt;1,'Settings &amp; Assumptions'!$G$15&lt;&gt;1),"n.b.",SUMIFS(Invoices[vat],Invoices[date],"&gt;="&amp;A26,Invoices[date],"&lt;"&amp;EDATE(A26,3),Invoices[status],"&lt;&gt;concept",Invoices[status],"&lt;&gt;geannuleerd")-SUMIFS(Expenses[vat_deductible],Expenses[date],"&gt;="&amp;A26,Expenses[date],"&lt;"&amp;EDATE(A26,3)))</x:f>
        <x:v>n.b.</x:v>
      </x:c>
      <x:c r="G26" s="2"/>
      <x:c r="H26" s="2" t="str">
        <x:f>IF(COUNT(F26:G26)&lt;2,"n.b.",F26-G26)</x:f>
        <x:v>n.b.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14" t="n">
        <x:v>46113</x:v>
      </x:c>
      <x:c r="B27" s="2" t="str">
        <x:f>IF('Settings &amp; Assumptions'!$G$14&lt;&gt;1,"n.b.",SUMIFS(Invoices[amount_excl],Invoices[date],"&gt;="&amp;A27,Invoices[date],"&lt;"&amp;EDATE(A27,3),Invoices[vat_treatment],"21%",Invoices[status],"&lt;&gt;concept",Invoices[status],"&lt;&gt;geannuleerd"))</x:f>
        <x:v>n.b.</x:v>
      </x:c>
      <x:c r="C27" s="2" t="str">
        <x:f>IF('Settings &amp; Assumptions'!$G$14&lt;&gt;1,"n.b.",SUMIFS(Invoices[amount_excl],Invoices[date],"&gt;="&amp;A27,Invoices[date],"&lt;"&amp;EDATE(A27,3),Invoices[vat_treatment],"9%",Invoices[status],"&lt;&gt;concept",Invoices[status],"&lt;&gt;geannuleerd"))</x:f>
        <x:v>n.b.</x:v>
      </x:c>
      <x:c r="D27" s="2" t="str">
        <x:f>IF('Settings &amp; Assumptions'!$G$14&lt;&gt;1,"n.b.",SUMIFS(Invoices[amount_excl],Invoices[date],"&gt;="&amp;A27,Invoices[date],"&lt;"&amp;EDATE(A27,3),Invoices[vat_treatment],"0%",Invoices[status],"&lt;&gt;concept",Invoices[status],"&lt;&gt;geannuleerd"))</x:f>
        <x:v>n.b.</x:v>
      </x:c>
      <x:c r="E27" s="2" t="str">
        <x:f>IF('Settings &amp; Assumptions'!$G$14&lt;&gt;1,"n.b.",SUMIFS(Invoices[amount_excl],Invoices[date],"&gt;="&amp;A27,Invoices[date],"&lt;"&amp;EDATE(A27,3),Invoices[vat_treatment],"reverse",Invoices[status],"&lt;&gt;concept",Invoices[status],"&lt;&gt;geannuleerd"))</x:f>
        <x:v>n.b.</x:v>
      </x:c>
      <x:c r="F27" s="2" t="str">
        <x:f>IF(OR('Settings &amp; Assumptions'!$G$14&lt;&gt;1,'Settings &amp; Assumptions'!$G$15&lt;&gt;1),"n.b.",SUMIFS(Invoices[vat],Invoices[date],"&gt;="&amp;A27,Invoices[date],"&lt;"&amp;EDATE(A27,3),Invoices[status],"&lt;&gt;concept",Invoices[status],"&lt;&gt;geannuleerd")-SUMIFS(Expenses[vat_deductible],Expenses[date],"&gt;="&amp;A27,Expenses[date],"&lt;"&amp;EDATE(A27,3)))</x:f>
        <x:v>n.b.</x:v>
      </x:c>
      <x:c r="G27" s="2"/>
      <x:c r="H27" s="2" t="str">
        <x:f>IF(COUNT(F27:G27)&lt;2,"n.b.",F27-G27)</x:f>
        <x:v>n.b.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14" t="n">
        <x:v>46204</x:v>
      </x:c>
      <x:c r="B28" s="2" t="str">
        <x:f>IF('Settings &amp; Assumptions'!$G$14&lt;&gt;1,"n.b.",SUMIFS(Invoices[amount_excl],Invoices[date],"&gt;="&amp;A28,Invoices[date],"&lt;"&amp;EDATE(A28,3),Invoices[vat_treatment],"21%",Invoices[status],"&lt;&gt;concept",Invoices[status],"&lt;&gt;geannuleerd"))</x:f>
        <x:v>n.b.</x:v>
      </x:c>
      <x:c r="C28" s="2" t="str">
        <x:f>IF('Settings &amp; Assumptions'!$G$14&lt;&gt;1,"n.b.",SUMIFS(Invoices[amount_excl],Invoices[date],"&gt;="&amp;A28,Invoices[date],"&lt;"&amp;EDATE(A28,3),Invoices[vat_treatment],"9%",Invoices[status],"&lt;&gt;concept",Invoices[status],"&lt;&gt;geannuleerd"))</x:f>
        <x:v>n.b.</x:v>
      </x:c>
      <x:c r="D28" s="2" t="str">
        <x:f>IF('Settings &amp; Assumptions'!$G$14&lt;&gt;1,"n.b.",SUMIFS(Invoices[amount_excl],Invoices[date],"&gt;="&amp;A28,Invoices[date],"&lt;"&amp;EDATE(A28,3),Invoices[vat_treatment],"0%",Invoices[status],"&lt;&gt;concept",Invoices[status],"&lt;&gt;geannuleerd"))</x:f>
        <x:v>n.b.</x:v>
      </x:c>
      <x:c r="E28" s="2" t="str">
        <x:f>IF('Settings &amp; Assumptions'!$G$14&lt;&gt;1,"n.b.",SUMIFS(Invoices[amount_excl],Invoices[date],"&gt;="&amp;A28,Invoices[date],"&lt;"&amp;EDATE(A28,3),Invoices[vat_treatment],"reverse",Invoices[status],"&lt;&gt;concept",Invoices[status],"&lt;&gt;geannuleerd"))</x:f>
        <x:v>n.b.</x:v>
      </x:c>
      <x:c r="F28" s="2" t="str">
        <x:f>IF(OR('Settings &amp; Assumptions'!$G$14&lt;&gt;1,'Settings &amp; Assumptions'!$G$15&lt;&gt;1),"n.b.",SUMIFS(Invoices[vat],Invoices[date],"&gt;="&amp;A28,Invoices[date],"&lt;"&amp;EDATE(A28,3),Invoices[status],"&lt;&gt;concept",Invoices[status],"&lt;&gt;geannuleerd")-SUMIFS(Expenses[vat_deductible],Expenses[date],"&gt;="&amp;A28,Expenses[date],"&lt;"&amp;EDATE(A28,3)))</x:f>
        <x:v>n.b.</x:v>
      </x:c>
      <x:c r="G28" s="2"/>
      <x:c r="H28" s="2" t="str">
        <x:f>IF(COUNT(F28:G28)&lt;2,"n.b.",F28-G28)</x:f>
        <x:v>n.b.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14" t="n">
        <x:v>46296</x:v>
      </x:c>
      <x:c r="B29" s="2" t="str">
        <x:f>IF('Settings &amp; Assumptions'!$G$14&lt;&gt;1,"n.b.",SUMIFS(Invoices[amount_excl],Invoices[date],"&gt;="&amp;A29,Invoices[date],"&lt;"&amp;EDATE(A29,3),Invoices[vat_treatment],"21%",Invoices[status],"&lt;&gt;concept",Invoices[status],"&lt;&gt;geannuleerd"))</x:f>
        <x:v>n.b.</x:v>
      </x:c>
      <x:c r="C29" s="2" t="str">
        <x:f>IF('Settings &amp; Assumptions'!$G$14&lt;&gt;1,"n.b.",SUMIFS(Invoices[amount_excl],Invoices[date],"&gt;="&amp;A29,Invoices[date],"&lt;"&amp;EDATE(A29,3),Invoices[vat_treatment],"9%",Invoices[status],"&lt;&gt;concept",Invoices[status],"&lt;&gt;geannuleerd"))</x:f>
        <x:v>n.b.</x:v>
      </x:c>
      <x:c r="D29" s="2" t="str">
        <x:f>IF('Settings &amp; Assumptions'!$G$14&lt;&gt;1,"n.b.",SUMIFS(Invoices[amount_excl],Invoices[date],"&gt;="&amp;A29,Invoices[date],"&lt;"&amp;EDATE(A29,3),Invoices[vat_treatment],"0%",Invoices[status],"&lt;&gt;concept",Invoices[status],"&lt;&gt;geannuleerd"))</x:f>
        <x:v>n.b.</x:v>
      </x:c>
      <x:c r="E29" s="2" t="str">
        <x:f>IF('Settings &amp; Assumptions'!$G$14&lt;&gt;1,"n.b.",SUMIFS(Invoices[amount_excl],Invoices[date],"&gt;="&amp;A29,Invoices[date],"&lt;"&amp;EDATE(A29,3),Invoices[vat_treatment],"reverse",Invoices[status],"&lt;&gt;concept",Invoices[status],"&lt;&gt;geannuleerd"))</x:f>
        <x:v>n.b.</x:v>
      </x:c>
      <x:c r="F29" s="2" t="str">
        <x:f>IF(OR('Settings &amp; Assumptions'!$G$14&lt;&gt;1,'Settings &amp; Assumptions'!$G$15&lt;&gt;1),"n.b.",SUMIFS(Invoices[vat],Invoices[date],"&gt;="&amp;A29,Invoices[date],"&lt;"&amp;EDATE(A29,3),Invoices[status],"&lt;&gt;concept",Invoices[status],"&lt;&gt;geannuleerd")-SUMIFS(Expenses[vat_deductible],Expenses[date],"&gt;="&amp;A29,Expenses[date],"&lt;"&amp;EDATE(A29,3)))</x:f>
        <x:v>n.b.</x:v>
      </x:c>
      <x:c r="G29" s="2"/>
      <x:c r="H29" s="2" t="str">
        <x:f>IF(COUNT(F29:G29)&lt;2,"n.b.",F29-G29)</x:f>
        <x:v>n.b.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32" customHeight="1">
      <x:c r="A32" s="5" t="str">
        <x:v>Btw “verlegd” vereist controle van verschuldigde én aftrekbare btw. Bij buitenlandse btw, gemengde prestaties of gedeeltelijke aftrek eerst fiscale bedragen aanvullen.</x:v>
      </x:c>
      <x:c r="B32" s="5" t="str">
        <x:v>Btw “verlegd” vereist controle van verschuldigde én aftrekbare btw. Bij buitenlandse btw, gemengde prestaties of gedeeltelijke aftrek eerst fiscale bedragen aanvullen.</x:v>
      </x:c>
      <x:c r="C32" s="5" t="str">
        <x:v>Btw “verlegd” vereist controle van verschuldigde én aftrekbare btw. Bij buitenlandse btw, gemengde prestaties of gedeeltelijke aftrek eerst fiscale bedragen aanvullen.</x:v>
      </x:c>
      <x:c r="D32" s="5" t="str">
        <x:v>Btw “verlegd” vereist controle van verschuldigde én aftrekbare btw. Bij buitenlandse btw, gemengde prestaties of gedeeltelijke aftrek eerst fiscale bedragen aanvullen.</x:v>
      </x:c>
      <x:c r="E32" s="5" t="str">
        <x:v>Btw “verlegd” vereist controle van verschuldigde én aftrekbare btw. Bij buitenlandse btw, gemengde prestaties of gedeeltelijke aftrek eerst fiscale bedragen aanvullen.</x:v>
      </x:c>
      <x:c r="F32" s="5" t="str">
        <x:v>Btw “verlegd” vereist controle van verschuldigde én aftrekbare btw. Bij buitenlandse btw, gemengde prestaties of gedeeltelijke aftrek eerst fiscale bedragen aanvullen.</x:v>
      </x:c>
      <x:c r="G32" s="5" t="str">
        <x:v>Btw “verlegd” vereist controle van verschuldigde én aftrekbare btw. Bij buitenlandse btw, gemengde prestaties of gedeeltelijke aftrek eerst fiscale bedragen aanvullen.</x:v>
      </x:c>
      <x:c r="H32" s="5" t="str">
        <x:v>Btw “verlegd” vereist controle van verschuldigde én aftrekbare btw. Bij buitenlandse btw, gemengde prestaties of gedeeltelijke aftrek eerst fiscale bedragen aanvullen.</x:v>
      </x:c>
      <x:c r="I32" s="5" t="str">
        <x:v>Btw “verlegd” vereist controle van verschuldigde én aftrekbare btw. Bij buitenlandse btw, gemengde prestaties of gedeeltelijke aftrek eerst fiscale bedragen aanvullen.</x:v>
      </x:c>
      <x:c r="J32" s="5" t="str">
        <x:v>Btw “verlegd” vereist controle van verschuldigde én aftrekbare btw. Bij buitenlandse btw, gemengde prestaties of gedeeltelijke aftrek eerst fiscale bedragen aanvullen.</x:v>
      </x:c>
      <x:c r="K32" s="5" t="str">
        <x:v>Btw “verlegd” vereist controle van verschuldigde én aftrekbare btw. Bij buitenlandse btw, gemengde prestaties of gedeeltelijke aftrek eerst fiscale bedragen aanvullen.</x:v>
      </x:c>
      <x:c r="L32" s="5" t="str">
        <x:v>Btw “verlegd” vereist controle van verschuldigde én aftrekbare btw. Bij buitenlandse btw, gemengde prestaties of gedeeltelijke aftrek eerst fiscale bedragen aanvullen.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32" customHeight="1">
      <x:c r="A34" s="5" t="str">
        <x:v>De Zvw-raming veronderstelt geen ander reeds benutte Zvw-grondslag. Zet tax scope pas op 1 als deze vereenvoudiging past. Een fiscale aanslag blijft apart bevestigd.</x:v>
      </x:c>
      <x:c r="B34" s="5" t="str">
        <x:v>De Zvw-raming veronderstelt geen ander reeds benutte Zvw-grondslag. Zet tax scope pas op 1 als deze vereenvoudiging past. Een fiscale aanslag blijft apart bevestigd.</x:v>
      </x:c>
      <x:c r="C34" s="5" t="str">
        <x:v>De Zvw-raming veronderstelt geen ander reeds benutte Zvw-grondslag. Zet tax scope pas op 1 als deze vereenvoudiging past. Een fiscale aanslag blijft apart bevestigd.</x:v>
      </x:c>
      <x:c r="D34" s="5" t="str">
        <x:v>De Zvw-raming veronderstelt geen ander reeds benutte Zvw-grondslag. Zet tax scope pas op 1 als deze vereenvoudiging past. Een fiscale aanslag blijft apart bevestigd.</x:v>
      </x:c>
      <x:c r="E34" s="5" t="str">
        <x:v>De Zvw-raming veronderstelt geen ander reeds benutte Zvw-grondslag. Zet tax scope pas op 1 als deze vereenvoudiging past. Een fiscale aanslag blijft apart bevestigd.</x:v>
      </x:c>
      <x:c r="F34" s="5" t="str">
        <x:v>De Zvw-raming veronderstelt geen ander reeds benutte Zvw-grondslag. Zet tax scope pas op 1 als deze vereenvoudiging past. Een fiscale aanslag blijft apart bevestigd.</x:v>
      </x:c>
      <x:c r="G34" s="5" t="str">
        <x:v>De Zvw-raming veronderstelt geen ander reeds benutte Zvw-grondslag. Zet tax scope pas op 1 als deze vereenvoudiging past. Een fiscale aanslag blijft apart bevestigd.</x:v>
      </x:c>
      <x:c r="H34" s="5" t="str">
        <x:v>De Zvw-raming veronderstelt geen ander reeds benutte Zvw-grondslag. Zet tax scope pas op 1 als deze vereenvoudiging past. Een fiscale aanslag blijft apart bevestigd.</x:v>
      </x:c>
      <x:c r="I34" s="5" t="str">
        <x:v>De Zvw-raming veronderstelt geen ander reeds benutte Zvw-grondslag. Zet tax scope pas op 1 als deze vereenvoudiging past. Een fiscale aanslag blijft apart bevestigd.</x:v>
      </x:c>
      <x:c r="J34" s="5" t="str">
        <x:v>De Zvw-raming veronderstelt geen ander reeds benutte Zvw-grondslag. Zet tax scope pas op 1 als deze vereenvoudiging past. Een fiscale aanslag blijft apart bevestigd.</x:v>
      </x:c>
      <x:c r="K34" s="5" t="str">
        <x:v>De Zvw-raming veronderstelt geen ander reeds benutte Zvw-grondslag. Zet tax scope pas op 1 als deze vereenvoudiging past. Een fiscale aanslag blijft apart bevestigd.</x:v>
      </x:c>
      <x:c r="L34" s="5" t="str">
        <x:v>De Zvw-raming veronderstelt geen ander reeds benutte Zvw-grondslag. Zet tax scope pas op 1 als deze vereenvoudiging past. Een fiscale aanslag blijft apart bevestigd.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32" customHeight="1">
      <x:c r="A36" s="5" t="str">
        <x:v>Bron tarieven 2026: https://www.belastingdienst.nl/wps/wcm/connect/nl/voorlopige-aanslag/content/voorlopige-aanslag-tarieven-en-heffingskortingen</x:v>
      </x:c>
      <x:c r="B36" s="5" t="str">
        <x:v>Bron tarieven 2026: https://www.belastingdienst.nl/wps/wcm/connect/nl/voorlopige-aanslag/content/voorlopige-aanslag-tarieven-en-heffingskortingen</x:v>
      </x:c>
      <x:c r="C36" s="5" t="str">
        <x:v>Bron tarieven 2026: https://www.belastingdienst.nl/wps/wcm/connect/nl/voorlopige-aanslag/content/voorlopige-aanslag-tarieven-en-heffingskortingen</x:v>
      </x:c>
      <x:c r="D36" s="5" t="str">
        <x:v>Bron tarieven 2026: https://www.belastingdienst.nl/wps/wcm/connect/nl/voorlopige-aanslag/content/voorlopige-aanslag-tarieven-en-heffingskortingen</x:v>
      </x:c>
      <x:c r="E36" s="5" t="str">
        <x:v>Bron tarieven 2026: https://www.belastingdienst.nl/wps/wcm/connect/nl/voorlopige-aanslag/content/voorlopige-aanslag-tarieven-en-heffingskortingen</x:v>
      </x:c>
      <x:c r="F36" s="5" t="str">
        <x:v>Bron tarieven 2026: https://www.belastingdienst.nl/wps/wcm/connect/nl/voorlopige-aanslag/content/voorlopige-aanslag-tarieven-en-heffingskortingen</x:v>
      </x:c>
      <x:c r="G36" s="5" t="str">
        <x:v>Bron tarieven 2026: https://www.belastingdienst.nl/wps/wcm/connect/nl/voorlopige-aanslag/content/voorlopige-aanslag-tarieven-en-heffingskortingen</x:v>
      </x:c>
      <x:c r="H36" s="5" t="str">
        <x:v>Bron tarieven 2026: https://www.belastingdienst.nl/wps/wcm/connect/nl/voorlopige-aanslag/content/voorlopige-aanslag-tarieven-en-heffingskortingen</x:v>
      </x:c>
      <x:c r="I36" s="5" t="str">
        <x:v>Bron tarieven 2026: https://www.belastingdienst.nl/wps/wcm/connect/nl/voorlopige-aanslag/content/voorlopige-aanslag-tarieven-en-heffingskortingen</x:v>
      </x:c>
      <x:c r="J36" s="5" t="str">
        <x:v>Bron tarieven 2026: https://www.belastingdienst.nl/wps/wcm/connect/nl/voorlopige-aanslag/content/voorlopige-aanslag-tarieven-en-heffingskortingen</x:v>
      </x:c>
      <x:c r="K36" s="5" t="str">
        <x:v>Bron tarieven 2026: https://www.belastingdienst.nl/wps/wcm/connect/nl/voorlopige-aanslag/content/voorlopige-aanslag-tarieven-en-heffingskortingen</x:v>
      </x:c>
      <x:c r="L36" s="5" t="str">
        <x:v>Bron tarieven 2026: https://www.belastingdienst.nl/wps/wcm/connect/nl/voorlopige-aanslag/content/voorlopige-aanslag-tarieven-en-heffingskortingen</x:v>
      </x:c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32" customHeight="1">
      <x:c r="A38" s="5" t="str">
        <x:v>Bron aftrek 2026: https://www.belastingdienst.nl/wps/wcm/connect/fisin/fisin2026/ondernemersaftrek_en_investeringsaftrek</x:v>
      </x:c>
      <x:c r="B38" s="5" t="str">
        <x:v>Bron aftrek 2026: https://www.belastingdienst.nl/wps/wcm/connect/fisin/fisin2026/ondernemersaftrek_en_investeringsaftrek</x:v>
      </x:c>
      <x:c r="C38" s="5" t="str">
        <x:v>Bron aftrek 2026: https://www.belastingdienst.nl/wps/wcm/connect/fisin/fisin2026/ondernemersaftrek_en_investeringsaftrek</x:v>
      </x:c>
      <x:c r="D38" s="5" t="str">
        <x:v>Bron aftrek 2026: https://www.belastingdienst.nl/wps/wcm/connect/fisin/fisin2026/ondernemersaftrek_en_investeringsaftrek</x:v>
      </x:c>
      <x:c r="E38" s="5" t="str">
        <x:v>Bron aftrek 2026: https://www.belastingdienst.nl/wps/wcm/connect/fisin/fisin2026/ondernemersaftrek_en_investeringsaftrek</x:v>
      </x:c>
      <x:c r="F38" s="5" t="str">
        <x:v>Bron aftrek 2026: https://www.belastingdienst.nl/wps/wcm/connect/fisin/fisin2026/ondernemersaftrek_en_investeringsaftrek</x:v>
      </x:c>
      <x:c r="G38" s="5" t="str">
        <x:v>Bron aftrek 2026: https://www.belastingdienst.nl/wps/wcm/connect/fisin/fisin2026/ondernemersaftrek_en_investeringsaftrek</x:v>
      </x:c>
      <x:c r="H38" s="5" t="str">
        <x:v>Bron aftrek 2026: https://www.belastingdienst.nl/wps/wcm/connect/fisin/fisin2026/ondernemersaftrek_en_investeringsaftrek</x:v>
      </x:c>
      <x:c r="I38" s="5" t="str">
        <x:v>Bron aftrek 2026: https://www.belastingdienst.nl/wps/wcm/connect/fisin/fisin2026/ondernemersaftrek_en_investeringsaftrek</x:v>
      </x:c>
      <x:c r="J38" s="5" t="str">
        <x:v>Bron aftrek 2026: https://www.belastingdienst.nl/wps/wcm/connect/fisin/fisin2026/ondernemersaftrek_en_investeringsaftrek</x:v>
      </x:c>
      <x:c r="K38" s="5" t="str">
        <x:v>Bron aftrek 2026: https://www.belastingdienst.nl/wps/wcm/connect/fisin/fisin2026/ondernemersaftrek_en_investeringsaftrek</x:v>
      </x:c>
      <x:c r="L38" s="5" t="str">
        <x:v>Bron aftrek 2026: https://www.belastingdienst.nl/wps/wcm/connect/fisin/fisin2026/ondernemersaftrek_en_investeringsaftrek</x:v>
      </x:c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32" customHeight="1">
      <x:c r="A40" s="5" t="str">
        <x:v>Bron Zvw 2026: https://open.overheid.nl/documenten/916b30f3-eafd-4acf-bd5a-f58319dae544/file</x:v>
      </x:c>
      <x:c r="B40" s="5" t="str">
        <x:v>Bron Zvw 2026: https://open.overheid.nl/documenten/916b30f3-eafd-4acf-bd5a-f58319dae544/file</x:v>
      </x:c>
      <x:c r="C40" s="5" t="str">
        <x:v>Bron Zvw 2026: https://open.overheid.nl/documenten/916b30f3-eafd-4acf-bd5a-f58319dae544/file</x:v>
      </x:c>
      <x:c r="D40" s="5" t="str">
        <x:v>Bron Zvw 2026: https://open.overheid.nl/documenten/916b30f3-eafd-4acf-bd5a-f58319dae544/file</x:v>
      </x:c>
      <x:c r="E40" s="5" t="str">
        <x:v>Bron Zvw 2026: https://open.overheid.nl/documenten/916b30f3-eafd-4acf-bd5a-f58319dae544/file</x:v>
      </x:c>
      <x:c r="F40" s="5" t="str">
        <x:v>Bron Zvw 2026: https://open.overheid.nl/documenten/916b30f3-eafd-4acf-bd5a-f58319dae544/file</x:v>
      </x:c>
      <x:c r="G40" s="5" t="str">
        <x:v>Bron Zvw 2026: https://open.overheid.nl/documenten/916b30f3-eafd-4acf-bd5a-f58319dae544/file</x:v>
      </x:c>
      <x:c r="H40" s="5" t="str">
        <x:v>Bron Zvw 2026: https://open.overheid.nl/documenten/916b30f3-eafd-4acf-bd5a-f58319dae544/file</x:v>
      </x:c>
      <x:c r="I40" s="5" t="str">
        <x:v>Bron Zvw 2026: https://open.overheid.nl/documenten/916b30f3-eafd-4acf-bd5a-f58319dae544/file</x:v>
      </x:c>
      <x:c r="J40" s="5" t="str">
        <x:v>Bron Zvw 2026: https://open.overheid.nl/documenten/916b30f3-eafd-4acf-bd5a-f58319dae544/file</x:v>
      </x:c>
      <x:c r="K40" s="5" t="str">
        <x:v>Bron Zvw 2026: https://open.overheid.nl/documenten/916b30f3-eafd-4acf-bd5a-f58319dae544/file</x:v>
      </x:c>
      <x:c r="L40" s="5" t="str">
        <x:v>Bron Zvw 2026: https://open.overheid.nl/documenten/916b30f3-eafd-4acf-bd5a-f58319dae544/file</x:v>
      </x:c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6:D6"/>
    <x:mergeCell ref="E6:G6"/>
    <x:mergeCell ref="A7:D7"/>
    <x:mergeCell ref="E7:G7"/>
    <x:mergeCell ref="A8:D8"/>
    <x:mergeCell ref="E8:G8"/>
    <x:mergeCell ref="A9:D9"/>
    <x:mergeCell ref="E9:G9"/>
    <x:mergeCell ref="A10:D10"/>
    <x:mergeCell ref="E10:G10"/>
    <x:mergeCell ref="A11:D11"/>
    <x:mergeCell ref="E11:G11"/>
    <x:mergeCell ref="A12:D12"/>
    <x:mergeCell ref="E12:G12"/>
    <x:mergeCell ref="A13:D13"/>
    <x:mergeCell ref="E13:G13"/>
    <x:mergeCell ref="A14:D14"/>
    <x:mergeCell ref="E14:G14"/>
    <x:mergeCell ref="A15:D15"/>
    <x:mergeCell ref="E15:G15"/>
    <x:mergeCell ref="A16:D16"/>
    <x:mergeCell ref="E16:G16"/>
    <x:mergeCell ref="A17:D17"/>
    <x:mergeCell ref="E17:G17"/>
    <x:mergeCell ref="A18:D18"/>
    <x:mergeCell ref="E18:G18"/>
    <x:mergeCell ref="A19:D19"/>
    <x:mergeCell ref="E19:G19"/>
    <x:mergeCell ref="A32:L32"/>
    <x:mergeCell ref="A34:L34"/>
    <x:mergeCell ref="A36:L36"/>
    <x:mergeCell ref="A38:L38"/>
    <x:mergeCell ref="A40:L40"/>
    <x:mergeCell ref="N2:P2"/>
  </x:mergeCells>
  <x:pageMargins left="0.7" right="0.7" top="0.75" bottom="0.75" header="0.3" footer="0.3"/>
  <x:tableParts count="1">
    <x:tablePart xmlns:r="http://schemas.openxmlformats.org/officeDocument/2006/relationships" r:id="R8ccc7f5bca554b47"/>
  </x:tableParts>
</x:worksheet>
</file>

<file path=xl/worksheets/sheet11.xml><?xml version="1.0" encoding="utf-8"?>
<x:worksheet xmlns:x="http://schemas.openxmlformats.org/spreadsheetml/2006/main">
  <x:sheetPr>
    <x:tabColor rgb="FF6BADF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Mercedes Sprinter L2H2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Prijzen zijn scenario’s exclusief btw. Terugvorderbare btw is pas beschikbaar wanneer die daadwerkelijk terugontvangen is.</x:v>
      </x:c>
      <x:c r="B3" s="5" t="str">
        <x:v>Prijzen zijn scenario’s exclusief btw. Terugvorderbare btw is pas beschikbaar wanneer die daadwerkelijk terugontvangen is.</x:v>
      </x:c>
      <x:c r="C3" s="5" t="str">
        <x:v>Prijzen zijn scenario’s exclusief btw. Terugvorderbare btw is pas beschikbaar wanneer die daadwerkelijk terugontvangen is.</x:v>
      </x:c>
      <x:c r="D3" s="5" t="str">
        <x:v>Prijzen zijn scenario’s exclusief btw. Terugvorderbare btw is pas beschikbaar wanneer die daadwerkelijk terugontvangen is.</x:v>
      </x:c>
      <x:c r="E3" s="5" t="str">
        <x:v>Prijzen zijn scenario’s exclusief btw. Terugvorderbare btw is pas beschikbaar wanneer die daadwerkelijk terugontvangen is.</x:v>
      </x:c>
      <x:c r="F3" s="5" t="str">
        <x:v>Prijzen zijn scenario’s exclusief btw. Terugvorderbare btw is pas beschikbaar wanneer die daadwerkelijk terugontvangen is.</x:v>
      </x:c>
      <x:c r="G3" s="5" t="str">
        <x:v>Prijzen zijn scenario’s exclusief btw. Terugvorderbare btw is pas beschikbaar wanneer die daadwerkelijk terugontvangen is.</x:v>
      </x:c>
      <x:c r="H3" s="5" t="str">
        <x:v>Prijzen zijn scenario’s exclusief btw. Terugvorderbare btw is pas beschikbaar wanneer die daadwerkelijk terugontvangen is.</x:v>
      </x:c>
      <x:c r="I3" s="5" t="str">
        <x:v>Prijzen zijn scenario’s exclusief btw. Terugvorderbare btw is pas beschikbaar wanneer die daadwerkelijk terugontvangen is.</x:v>
      </x:c>
      <x:c r="J3" s="5" t="str">
        <x:v>Prijzen zijn scenario’s exclusief btw. Terugvorderbare btw is pas beschikbaar wanneer die daadwerkelijk terugontvangen is.</x:v>
      </x:c>
      <x:c r="K3" s="5" t="str">
        <x:v>Prijzen zijn scenario’s exclusief btw. Terugvorderbare btw is pas beschikbaar wanneer die daadwerkelijk terugontvangen is.</x:v>
      </x:c>
      <x:c r="L3" s="5" t="str">
        <x:v>Prijzen zijn scenario’s exclusief btw. Terugvorderbare btw is pas beschikbaar wanneer die daadwerkelijk terugontvangen is.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Koopsom excl. btw</x:v>
      </x:c>
      <x:c r="B6" s="2"/>
      <x:c r="C6" s="2"/>
      <x:c r="D6" s="2"/>
      <x:c r="E6" s="16" t="n">
        <x:v>30000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Btw aankoop</x:v>
      </x:c>
      <x:c r="B7" s="2"/>
      <x:c r="C7" s="2"/>
      <x:c r="D7" s="2"/>
      <x:c r="E7" s="17" t="n">
        <x:v>0.21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Koopsom incl. btw</x:v>
      </x:c>
      <x:c r="B8" s="2"/>
      <x:c r="C8" s="2"/>
      <x:c r="D8" s="2"/>
      <x:c r="E8" s="16" t="n">
        <x:f>E6*(1+E7)</x:f>
        <x:v>36300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Registratiekosten</x:v>
      </x:c>
      <x:c r="B9" s="2"/>
      <x:c r="C9" s="2"/>
      <x:c r="D9" s="2"/>
      <x:c r="E9" s="16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Keuring</x:v>
      </x:c>
      <x:c r="B10" s="2"/>
      <x:c r="C10" s="2"/>
      <x:c r="D10" s="2"/>
      <x:c r="E10" s="16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Eerste onderhoud</x:v>
      </x:c>
      <x:c r="B11" s="2"/>
      <x:c r="C11" s="2"/>
      <x:c r="D11" s="2"/>
      <x:c r="E11" s="16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Verzekering eerste periode</x:v>
      </x:c>
      <x:c r="B12" s="2"/>
      <x:c r="C12" s="2"/>
      <x:c r="D12" s="2"/>
      <x:c r="E12" s="16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Motorrijtuigenbelasting eerste periode</x:v>
      </x:c>
      <x:c r="B13" s="2"/>
      <x:c r="C13" s="2"/>
      <x:c r="D13" s="2"/>
      <x:c r="E13" s="16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Onvoorzien</x:v>
      </x:c>
      <x:c r="B14" s="2"/>
      <x:c r="C14" s="2"/>
      <x:c r="D14" s="2"/>
      <x:c r="E14" s="16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Totaal voertuig</x:v>
      </x:c>
      <x:c r="B15" s="2"/>
      <x:c r="C15" s="2"/>
      <x:c r="D15" s="2"/>
      <x:c r="E15" s="16" t="str">
        <x:f>IF(COUNT(E8:E14)&lt;7,"n.b.",SUM(E8:E14))</x:f>
        <x:v>n.b.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Totaal ombouw</x:v>
      </x:c>
      <x:c r="B16" s="2"/>
      <x:c r="C16" s="2"/>
      <x:c r="D16" s="2"/>
      <x:c r="E16" s="16" t="str">
        <x:f>'Van Conversion'!E35</x:f>
        <x:v>n.b.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str">
        <x:v>Totaal project</x:v>
      </x:c>
      <x:c r="B17" s="2"/>
      <x:c r="C17" s="2"/>
      <x:c r="D17" s="2"/>
      <x:c r="E17" s="16" t="str">
        <x:f>IF(COUNT(E15:E16)&lt;2,"n.b.",SUM(E15:E16))</x:f>
        <x:v>n.b.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v>Gereserveerd voor bus en ombouw</x:v>
      </x:c>
      <x:c r="B18" s="2"/>
      <x:c r="C18" s="2"/>
      <x:c r="D18" s="2"/>
      <x:c r="E18" s="16" t="str">
        <x:f>IF(COUNT('Financial Goals'!C6:C7)&lt;2,"n.b.",SUM('Financial Goals'!C6:C7))</x:f>
        <x:v>n.b.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v>Nog nodig</x:v>
      </x:c>
      <x:c r="B19" s="2"/>
      <x:c r="C19" s="2"/>
      <x:c r="D19" s="2"/>
      <x:c r="E19" s="16" t="str">
        <x:f>IF(COUNT(E17:E18)&lt;2,"n.b.",MAX(0,E17-E18))</x:f>
        <x:v>n.b.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v>Extra werkdagen</x:v>
      </x:c>
      <x:c r="B20" s="2"/>
      <x:c r="C20" s="2"/>
      <x:c r="D20" s="2"/>
      <x:c r="E20" s="22" t="str">
        <x:f>IF(OR(NOT(ISNUMBER(E19)),NOT(ISNUMBER('Settings &amp; Assumptions'!$B$34)),'Settings &amp; Assumptions'!$B$34&lt;=0),"n.b.",ROUNDUP(E19/'Settings &amp; Assumptions'!$B$34,0))</x:f>
        <x:v>n.b.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 t="str">
        <x:v>Cash na volledige aankoop</x:v>
      </x:c>
      <x:c r="B21" s="2"/>
      <x:c r="C21" s="2"/>
      <x:c r="D21" s="2"/>
      <x:c r="E21" s="16" t="str">
        <x:f>IF(COUNT(E17,'Net Worth'!E6)&lt;2,"n.b.",'Net Worth'!E6-E17)</x:f>
        <x:v>n.b.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 t="str">
        <x:v>Geschatte datum</x:v>
      </x:c>
      <x:c r="B22" s="2"/>
      <x:c r="C22" s="2"/>
      <x:c r="D22" s="2"/>
      <x:c r="E22" s="23" t="str">
        <x:f>IF(OR(NOT(ISNUMBER(E19)),'Settings &amp; Assumptions'!$B$28&lt;=0),"n.b.",EDATE('Settings &amp; Assumptions'!$B$6,ROUNDUP(E19/'Settings &amp; Assumptions'!$B$28,0)))</x:f>
        <x:v>n.b.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40" customHeight="1">
      <x:c r="A26" s="8" t="str">
        <x:v>Koop excl. btw</x:v>
      </x:c>
      <x:c r="B26" s="8" t="str">
        <x:v>Koop incl. btw</x:v>
      </x:c>
      <x:c r="C26" s="8" t="str">
        <x:v>Extra werkdagen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 t="n">
        <x:v>25000</x:v>
      </x:c>
      <x:c r="B27" s="2" t="n">
        <x:f>A27*(1+$E$7)</x:f>
        <x:v>30250</x:v>
      </x:c>
      <x:c r="C27" s="2" t="str">
        <x:f>IF(OR(NOT(ISNUMBER('Settings &amp; Assumptions'!$B$34)),'Settings &amp; Assumptions'!$B$34&lt;=0),"n.b.",ROUNDUP(B27/'Settings &amp; Assumptions'!$B$34,0))</x:f>
        <x:v>n.b.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 t="n">
        <x:v>30000</x:v>
      </x:c>
      <x:c r="B28" s="2" t="n">
        <x:f>A28*(1+$E$7)</x:f>
        <x:v>36300</x:v>
      </x:c>
      <x:c r="C28" s="2" t="str">
        <x:f>IF(OR(NOT(ISNUMBER('Settings &amp; Assumptions'!$B$34)),'Settings &amp; Assumptions'!$B$34&lt;=0),"n.b.",ROUNDUP(B28/'Settings &amp; Assumptions'!$B$34,0))</x:f>
        <x:v>n.b.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 t="n">
        <x:v>35000</x:v>
      </x:c>
      <x:c r="B29" s="2" t="n">
        <x:f>A29*(1+$E$7)</x:f>
        <x:v>42350</x:v>
      </x:c>
      <x:c r="C29" s="2" t="str">
        <x:f>IF(OR(NOT(ISNUMBER('Settings &amp; Assumptions'!$B$34)),'Settings &amp; Assumptions'!$B$34&lt;=0),"n.b.",ROUNDUP(B29/'Settings &amp; Assumptions'!$B$34,0))</x:f>
        <x:v>n.b.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 t="n">
        <x:v>40000</x:v>
      </x:c>
      <x:c r="B30" s="2" t="n">
        <x:f>A30*(1+$E$7)</x:f>
        <x:v>48400</x:v>
      </x:c>
      <x:c r="C30" s="2" t="str">
        <x:f>IF(OR(NOT(ISNUMBER('Settings &amp; Assumptions'!$B$34)),'Settings &amp; Assumptions'!$B$34&lt;=0),"n.b.",ROUNDUP(B30/'Settings &amp; Assumptions'!$B$34,0))</x:f>
        <x:v>n.b.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40" customHeight="1">
      <x:c r="A34" s="8" t="str">
        <x:v>Scenario</x:v>
      </x:c>
      <x:c r="B34" s="8" t="str">
        <x:v>Ombouwbudget</x:v>
      </x:c>
      <x:c r="C34" s="8" t="str">
        <x:v>Totale cashbehoefte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 t="str">
        <x:v>Basis</x:v>
      </x:c>
      <x:c r="B35" s="2" t="str">
        <x:f>IF(COUNT('Van Conversion'!B6:B32)&lt;27,"n.b.",SUMIFS(Conversion[Begroot incl.],Conversion[Vanaf scenario],"&lt;=1"))</x:f>
        <x:v>n.b.</x:v>
      </x:c>
      <x:c r="C35" s="2" t="str">
        <x:f>IF(COUNT(B35,$E$15)&lt;2,"n.b.",B35+$E$15)</x:f>
        <x:v>n.b.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 t="str">
        <x:v>Comfortabel</x:v>
      </x:c>
      <x:c r="B36" s="2" t="str">
        <x:f>IF(COUNT('Van Conversion'!B6:B32)&lt;27,"n.b.",SUMIFS(Conversion[Begroot incl.],Conversion[Vanaf scenario],"&lt;=2"))</x:f>
        <x:v>n.b.</x:v>
      </x:c>
      <x:c r="C36" s="2" t="str">
        <x:f>IF(COUNT(B36,$E$15)&lt;2,"n.b.",B36+$E$15)</x:f>
        <x:v>n.b.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 t="str">
        <x:v>Compleet</x:v>
      </x:c>
      <x:c r="B37" s="2" t="str">
        <x:f>IF(COUNT('Van Conversion'!B6:B32)&lt;27,"n.b.",SUMIFS(Conversion[Begroot incl.],Conversion[Vanaf scenario],"&lt;=3"))</x:f>
        <x:v>n.b.</x:v>
      </x:c>
      <x:c r="C37" s="2" t="str">
        <x:f>IF(COUNT(B37,$E$15)&lt;2,"n.b.",B37+$E$15)</x:f>
        <x:v>n.b.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6:D6"/>
    <x:mergeCell ref="E6:G6"/>
    <x:mergeCell ref="A7:D7"/>
    <x:mergeCell ref="E7:G7"/>
    <x:mergeCell ref="A8:D8"/>
    <x:mergeCell ref="E8:G8"/>
    <x:mergeCell ref="A9:D9"/>
    <x:mergeCell ref="E9:G9"/>
    <x:mergeCell ref="A10:D10"/>
    <x:mergeCell ref="E10:G10"/>
    <x:mergeCell ref="A11:D11"/>
    <x:mergeCell ref="E11:G11"/>
    <x:mergeCell ref="A12:D12"/>
    <x:mergeCell ref="E12:G12"/>
    <x:mergeCell ref="A13:D13"/>
    <x:mergeCell ref="E13:G13"/>
    <x:mergeCell ref="A14:D14"/>
    <x:mergeCell ref="E14:G14"/>
    <x:mergeCell ref="A15:D15"/>
    <x:mergeCell ref="E15:G15"/>
    <x:mergeCell ref="A16:D16"/>
    <x:mergeCell ref="E16:G16"/>
    <x:mergeCell ref="A17:D17"/>
    <x:mergeCell ref="E17:G17"/>
    <x:mergeCell ref="A18:D18"/>
    <x:mergeCell ref="E18:G18"/>
    <x:mergeCell ref="A19:D19"/>
    <x:mergeCell ref="E19:G19"/>
    <x:mergeCell ref="A20:D20"/>
    <x:mergeCell ref="E20:G20"/>
    <x:mergeCell ref="A21:D21"/>
    <x:mergeCell ref="E21:G21"/>
    <x:mergeCell ref="A22:D22"/>
    <x:mergeCell ref="E22:G22"/>
    <x:mergeCell ref="N2:P2"/>
  </x:mergeCells>
  <x:pageMargins left="0.7" right="0.7" top="0.75" bottom="0.75" header="0.3" footer="0.3"/>
  <x:tableParts count="2">
    <x:tablePart xmlns:r="http://schemas.openxmlformats.org/officeDocument/2006/relationships" r:id="Rc3c1ad00bfe14ba6"/>
    <x:tablePart xmlns:r="http://schemas.openxmlformats.org/officeDocument/2006/relationships" r:id="Ra69743f363584d1c"/>
  </x:tableParts>
</x:worksheet>
</file>

<file path=xl/worksheets/sheet12.xml><?xml version="1.0" encoding="utf-8"?>
<x:worksheet xmlns:x="http://schemas.openxmlformats.org/spreadsheetml/2006/main">
  <x:sheetPr>
    <x:tabColor rgb="FF6BADF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Camperombouw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Begroot alle onderdelen inclusief btw. Leeg betekent nog niet begroot; vul bewust 0 in voor onderdelen die je overslaat.</x:v>
      </x:c>
      <x:c r="B3" s="5" t="str">
        <x:v>Begroot alle onderdelen inclusief btw. Leeg betekent nog niet begroot; vul bewust 0 in voor onderdelen die je overslaat.</x:v>
      </x:c>
      <x:c r="C3" s="5" t="str">
        <x:v>Begroot alle onderdelen inclusief btw. Leeg betekent nog niet begroot; vul bewust 0 in voor onderdelen die je overslaat.</x:v>
      </x:c>
      <x:c r="D3" s="5" t="str">
        <x:v>Begroot alle onderdelen inclusief btw. Leeg betekent nog niet begroot; vul bewust 0 in voor onderdelen die je overslaat.</x:v>
      </x:c>
      <x:c r="E3" s="5" t="str">
        <x:v>Begroot alle onderdelen inclusief btw. Leeg betekent nog niet begroot; vul bewust 0 in voor onderdelen die je overslaat.</x:v>
      </x:c>
      <x:c r="F3" s="5" t="str">
        <x:v>Begroot alle onderdelen inclusief btw. Leeg betekent nog niet begroot; vul bewust 0 in voor onderdelen die je overslaat.</x:v>
      </x:c>
      <x:c r="G3" s="5" t="str">
        <x:v>Begroot alle onderdelen inclusief btw. Leeg betekent nog niet begroot; vul bewust 0 in voor onderdelen die je overslaat.</x:v>
      </x:c>
      <x:c r="H3" s="5" t="str">
        <x:v>Begroot alle onderdelen inclusief btw. Leeg betekent nog niet begroot; vul bewust 0 in voor onderdelen die je overslaat.</x:v>
      </x:c>
      <x:c r="I3" s="5" t="str">
        <x:v>Begroot alle onderdelen inclusief btw. Leeg betekent nog niet begroot; vul bewust 0 in voor onderdelen die je overslaat.</x:v>
      </x:c>
      <x:c r="J3" s="5" t="str">
        <x:v>Begroot alle onderdelen inclusief btw. Leeg betekent nog niet begroot; vul bewust 0 in voor onderdelen die je overslaat.</x:v>
      </x:c>
      <x:c r="K3" s="5" t="str">
        <x:v>Begroot alle onderdelen inclusief btw. Leeg betekent nog niet begroot; vul bewust 0 in voor onderdelen die je overslaat.</x:v>
      </x:c>
      <x:c r="L3" s="5" t="str">
        <x:v>Begroot alle onderdelen inclusief btw. Leeg betekent nog niet begroot; vul bewust 0 in voor onderdelen die je overslaat.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Onderdeel</x:v>
      </x:c>
      <x:c r="B5" s="8" t="str">
        <x:v>Begroot incl.</x:v>
      </x:c>
      <x:c r="C5" s="8" t="str">
        <x:v>Werkelijk incl.</x:v>
      </x:c>
      <x:c r="D5" s="8" t="str">
        <x:v>Betaald</x:v>
      </x:c>
      <x:c r="E5" s="8" t="str">
        <x:v>Resterend</x:v>
      </x:c>
      <x:c r="F5" s="8" t="str">
        <x:v>Prioriteit</x:v>
      </x:c>
      <x:c r="G5" s="8" t="str">
        <x:v>Status</x:v>
      </x:c>
      <x:c r="H5" s="8" t="str">
        <x:v>Leverancier</x:v>
      </x:c>
      <x:c r="I5" s="8" t="str">
        <x:v>Notities</x:v>
      </x:c>
      <x:c r="J5" s="8" t="str">
        <x:v>Vanaf scenario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Isolatie</x:v>
      </x:c>
      <x:c r="B6" s="2"/>
      <x:c r="C6" s="2"/>
      <x:c r="D6" s="2"/>
      <x:c r="E6" s="2" t="str">
        <x:f>IF(OR(NOT(ISNUMBER(B6)),NOT(ISNUMBER(D6))),"n.b.",MAX(0,IF(NOT(ISNUMBER(C6)),B6,C6)-D6))</x:f>
        <x:v>n.b.</x:v>
      </x:c>
      <x:c r="F6" s="2" t="str">
        <x:v>Normaal</x:v>
      </x:c>
      <x:c r="G6" s="2" t="str">
        <x:v>Nog plannen</x:v>
      </x:c>
      <x:c r="H6" s="2" t="str"/>
      <x:c r="I6" s="2" t="str"/>
      <x:c r="J6" s="2" t="n">
        <x:v>3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Vloer</x:v>
      </x:c>
      <x:c r="B7" s="2"/>
      <x:c r="C7" s="2"/>
      <x:c r="D7" s="2"/>
      <x:c r="E7" s="2" t="str">
        <x:f>IF(OR(NOT(ISNUMBER(B7)),NOT(ISNUMBER(D7))),"n.b.",MAX(0,IF(NOT(ISNUMBER(C7)),B7,C7)-D7))</x:f>
        <x:v>n.b.</x:v>
      </x:c>
      <x:c r="F7" s="2" t="str">
        <x:v>Normaal</x:v>
      </x:c>
      <x:c r="G7" s="2" t="str">
        <x:v>Nog plannen</x:v>
      </x:c>
      <x:c r="H7" s="2" t="str"/>
      <x:c r="I7" s="2" t="str"/>
      <x:c r="J7" s="2" t="n">
        <x:v>3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Wandpanelen</x:v>
      </x:c>
      <x:c r="B8" s="2"/>
      <x:c r="C8" s="2"/>
      <x:c r="D8" s="2"/>
      <x:c r="E8" s="2" t="str">
        <x:f>IF(OR(NOT(ISNUMBER(B8)),NOT(ISNUMBER(D8))),"n.b.",MAX(0,IF(NOT(ISNUMBER(C8)),B8,C8)-D8))</x:f>
        <x:v>n.b.</x:v>
      </x:c>
      <x:c r="F8" s="2" t="str">
        <x:v>Normaal</x:v>
      </x:c>
      <x:c r="G8" s="2" t="str">
        <x:v>Nog plannen</x:v>
      </x:c>
      <x:c r="H8" s="2" t="str"/>
      <x:c r="I8" s="2" t="str"/>
      <x:c r="J8" s="2" t="n">
        <x:v>3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Plafond</x:v>
      </x:c>
      <x:c r="B9" s="2"/>
      <x:c r="C9" s="2"/>
      <x:c r="D9" s="2"/>
      <x:c r="E9" s="2" t="str">
        <x:f>IF(OR(NOT(ISNUMBER(B9)),NOT(ISNUMBER(D9))),"n.b.",MAX(0,IF(NOT(ISNUMBER(C9)),B9,C9)-D9))</x:f>
        <x:v>n.b.</x:v>
      </x:c>
      <x:c r="F9" s="2" t="str">
        <x:v>Normaal</x:v>
      </x:c>
      <x:c r="G9" s="2" t="str">
        <x:v>Nog plannen</x:v>
      </x:c>
      <x:c r="H9" s="2" t="str"/>
      <x:c r="I9" s="2" t="str"/>
      <x:c r="J9" s="2" t="n">
        <x:v>3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Elektrische installatie</x:v>
      </x:c>
      <x:c r="B10" s="2"/>
      <x:c r="C10" s="2"/>
      <x:c r="D10" s="2"/>
      <x:c r="E10" s="2" t="str">
        <x:f>IF(OR(NOT(ISNUMBER(B10)),NOT(ISNUMBER(D10))),"n.b.",MAX(0,IF(NOT(ISNUMBER(C10)),B10,C10)-D10))</x:f>
        <x:v>n.b.</x:v>
      </x:c>
      <x:c r="F10" s="2" t="str">
        <x:v>Normaal</x:v>
      </x:c>
      <x:c r="G10" s="2" t="str">
        <x:v>Nog plannen</x:v>
      </x:c>
      <x:c r="H10" s="2" t="str"/>
      <x:c r="I10" s="2" t="str"/>
      <x:c r="J10" s="2" t="n">
        <x:v>3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LiFePO4 accu’s</x:v>
      </x:c>
      <x:c r="B11" s="2"/>
      <x:c r="C11" s="2"/>
      <x:c r="D11" s="2"/>
      <x:c r="E11" s="2" t="str">
        <x:f>IF(OR(NOT(ISNUMBER(B11)),NOT(ISNUMBER(D11))),"n.b.",MAX(0,IF(NOT(ISNUMBER(C11)),B11,C11)-D11))</x:f>
        <x:v>n.b.</x:v>
      </x:c>
      <x:c r="F11" s="2" t="str">
        <x:v>Normaal</x:v>
      </x:c>
      <x:c r="G11" s="2" t="str">
        <x:v>Nog plannen</x:v>
      </x:c>
      <x:c r="H11" s="2" t="str"/>
      <x:c r="I11" s="2" t="str"/>
      <x:c r="J11" s="2" t="n">
        <x:v>3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DC-DC lader</x:v>
      </x:c>
      <x:c r="B12" s="2"/>
      <x:c r="C12" s="2"/>
      <x:c r="D12" s="2"/>
      <x:c r="E12" s="2" t="str">
        <x:f>IF(OR(NOT(ISNUMBER(B12)),NOT(ISNUMBER(D12))),"n.b.",MAX(0,IF(NOT(ISNUMBER(C12)),B12,C12)-D12))</x:f>
        <x:v>n.b.</x:v>
      </x:c>
      <x:c r="F12" s="2" t="str">
        <x:v>Normaal</x:v>
      </x:c>
      <x:c r="G12" s="2" t="str">
        <x:v>Nog plannen</x:v>
      </x:c>
      <x:c r="H12" s="2" t="str"/>
      <x:c r="I12" s="2" t="str"/>
      <x:c r="J12" s="2" t="n">
        <x:v>3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Zonnepanelen</x:v>
      </x:c>
      <x:c r="B13" s="2"/>
      <x:c r="C13" s="2"/>
      <x:c r="D13" s="2"/>
      <x:c r="E13" s="2" t="str">
        <x:f>IF(OR(NOT(ISNUMBER(B13)),NOT(ISNUMBER(D13))),"n.b.",MAX(0,IF(NOT(ISNUMBER(C13)),B13,C13)-D13))</x:f>
        <x:v>n.b.</x:v>
      </x:c>
      <x:c r="F13" s="2" t="str">
        <x:v>Normaal</x:v>
      </x:c>
      <x:c r="G13" s="2" t="str">
        <x:v>Nog plannen</x:v>
      </x:c>
      <x:c r="H13" s="2" t="str"/>
      <x:c r="I13" s="2" t="str"/>
      <x:c r="J13" s="2" t="n">
        <x:v>3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Omvormer</x:v>
      </x:c>
      <x:c r="B14" s="2"/>
      <x:c r="C14" s="2"/>
      <x:c r="D14" s="2"/>
      <x:c r="E14" s="2" t="str">
        <x:f>IF(OR(NOT(ISNUMBER(B14)),NOT(ISNUMBER(D14))),"n.b.",MAX(0,IF(NOT(ISNUMBER(C14)),B14,C14)-D14))</x:f>
        <x:v>n.b.</x:v>
      </x:c>
      <x:c r="F14" s="2" t="str">
        <x:v>Normaal</x:v>
      </x:c>
      <x:c r="G14" s="2" t="str">
        <x:v>Nog plannen</x:v>
      </x:c>
      <x:c r="H14" s="2" t="str"/>
      <x:c r="I14" s="2" t="str"/>
      <x:c r="J14" s="2" t="n">
        <x:v>3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Bekabeling</x:v>
      </x:c>
      <x:c r="B15" s="2"/>
      <x:c r="C15" s="2"/>
      <x:c r="D15" s="2"/>
      <x:c r="E15" s="2" t="str">
        <x:f>IF(OR(NOT(ISNUMBER(B15)),NOT(ISNUMBER(D15))),"n.b.",MAX(0,IF(NOT(ISNUMBER(C15)),B15,C15)-D15))</x:f>
        <x:v>n.b.</x:v>
      </x:c>
      <x:c r="F15" s="2" t="str">
        <x:v>Normaal</x:v>
      </x:c>
      <x:c r="G15" s="2" t="str">
        <x:v>Nog plannen</x:v>
      </x:c>
      <x:c r="H15" s="2" t="str"/>
      <x:c r="I15" s="2" t="str"/>
      <x:c r="J15" s="2" t="n">
        <x:v>3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Zekeringkasten</x:v>
      </x:c>
      <x:c r="B16" s="2"/>
      <x:c r="C16" s="2"/>
      <x:c r="D16" s="2"/>
      <x:c r="E16" s="2" t="str">
        <x:f>IF(OR(NOT(ISNUMBER(B16)),NOT(ISNUMBER(D16))),"n.b.",MAX(0,IF(NOT(ISNUMBER(C16)),B16,C16)-D16))</x:f>
        <x:v>n.b.</x:v>
      </x:c>
      <x:c r="F16" s="2" t="str">
        <x:v>Normaal</x:v>
      </x:c>
      <x:c r="G16" s="2" t="str">
        <x:v>Nog plannen</x:v>
      </x:c>
      <x:c r="H16" s="2" t="str"/>
      <x:c r="I16" s="2" t="str"/>
      <x:c r="J16" s="2" t="n">
        <x:v>3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str">
        <x:v>Verlichting</x:v>
      </x:c>
      <x:c r="B17" s="2"/>
      <x:c r="C17" s="2"/>
      <x:c r="D17" s="2"/>
      <x:c r="E17" s="2" t="str">
        <x:f>IF(OR(NOT(ISNUMBER(B17)),NOT(ISNUMBER(D17))),"n.b.",MAX(0,IF(NOT(ISNUMBER(C17)),B17,C17)-D17))</x:f>
        <x:v>n.b.</x:v>
      </x:c>
      <x:c r="F17" s="2" t="str">
        <x:v>Normaal</x:v>
      </x:c>
      <x:c r="G17" s="2" t="str">
        <x:v>Nog plannen</x:v>
      </x:c>
      <x:c r="H17" s="2" t="str"/>
      <x:c r="I17" s="2" t="str"/>
      <x:c r="J17" s="2" t="n">
        <x:v>3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v>Bedlift</x:v>
      </x:c>
      <x:c r="B18" s="2"/>
      <x:c r="C18" s="2"/>
      <x:c r="D18" s="2"/>
      <x:c r="E18" s="2" t="str">
        <x:f>IF(OR(NOT(ISNUMBER(B18)),NOT(ISNUMBER(D18))),"n.b.",MAX(0,IF(NOT(ISNUMBER(C18)),B18,C18)-D18))</x:f>
        <x:v>n.b.</x:v>
      </x:c>
      <x:c r="F18" s="2" t="str">
        <x:v>Normaal</x:v>
      </x:c>
      <x:c r="G18" s="2" t="str">
        <x:v>Nog plannen</x:v>
      </x:c>
      <x:c r="H18" s="2" t="str"/>
      <x:c r="I18" s="2" t="str"/>
      <x:c r="J18" s="2" t="n">
        <x:v>3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v>Matras</x:v>
      </x:c>
      <x:c r="B19" s="2"/>
      <x:c r="C19" s="2"/>
      <x:c r="D19" s="2"/>
      <x:c r="E19" s="2" t="str">
        <x:f>IF(OR(NOT(ISNUMBER(B19)),NOT(ISNUMBER(D19))),"n.b.",MAX(0,IF(NOT(ISNUMBER(C19)),B19,C19)-D19))</x:f>
        <x:v>n.b.</x:v>
      </x:c>
      <x:c r="F19" s="2" t="str">
        <x:v>Normaal</x:v>
      </x:c>
      <x:c r="G19" s="2" t="str">
        <x:v>Nog plannen</x:v>
      </x:c>
      <x:c r="H19" s="2" t="str"/>
      <x:c r="I19" s="2" t="str"/>
      <x:c r="J19" s="2" t="n">
        <x:v>3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v>Zithoek</x:v>
      </x:c>
      <x:c r="B20" s="2"/>
      <x:c r="C20" s="2"/>
      <x:c r="D20" s="2"/>
      <x:c r="E20" s="2" t="str">
        <x:f>IF(OR(NOT(ISNUMBER(B20)),NOT(ISNUMBER(D20))),"n.b.",MAX(0,IF(NOT(ISNUMBER(C20)),B20,C20)-D20))</x:f>
        <x:v>n.b.</x:v>
      </x:c>
      <x:c r="F20" s="2" t="str">
        <x:v>Normaal</x:v>
      </x:c>
      <x:c r="G20" s="2" t="str">
        <x:v>Nog plannen</x:v>
      </x:c>
      <x:c r="H20" s="2" t="str"/>
      <x:c r="I20" s="2" t="str"/>
      <x:c r="J20" s="2" t="n">
        <x:v>3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 t="str">
        <x:v>Keuken</x:v>
      </x:c>
      <x:c r="B21" s="2"/>
      <x:c r="C21" s="2"/>
      <x:c r="D21" s="2"/>
      <x:c r="E21" s="2" t="str">
        <x:f>IF(OR(NOT(ISNUMBER(B21)),NOT(ISNUMBER(D21))),"n.b.",MAX(0,IF(NOT(ISNUMBER(C21)),B21,C21)-D21))</x:f>
        <x:v>n.b.</x:v>
      </x:c>
      <x:c r="F21" s="2" t="str">
        <x:v>Normaal</x:v>
      </x:c>
      <x:c r="G21" s="2" t="str">
        <x:v>Nog plannen</x:v>
      </x:c>
      <x:c r="H21" s="2" t="str"/>
      <x:c r="I21" s="2" t="str"/>
      <x:c r="J21" s="2" t="n">
        <x:v>3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 t="str">
        <x:v>Koelkast</x:v>
      </x:c>
      <x:c r="B22" s="2"/>
      <x:c r="C22" s="2"/>
      <x:c r="D22" s="2"/>
      <x:c r="E22" s="2" t="str">
        <x:f>IF(OR(NOT(ISNUMBER(B22)),NOT(ISNUMBER(D22))),"n.b.",MAX(0,IF(NOT(ISNUMBER(C22)),B22,C22)-D22))</x:f>
        <x:v>n.b.</x:v>
      </x:c>
      <x:c r="F22" s="2" t="str">
        <x:v>Normaal</x:v>
      </x:c>
      <x:c r="G22" s="2" t="str">
        <x:v>Nog plannen</x:v>
      </x:c>
      <x:c r="H22" s="2" t="str"/>
      <x:c r="I22" s="2" t="str"/>
      <x:c r="J22" s="2" t="n">
        <x:v>3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 t="str">
        <x:v>Oven</x:v>
      </x:c>
      <x:c r="B23" s="2"/>
      <x:c r="C23" s="2"/>
      <x:c r="D23" s="2"/>
      <x:c r="E23" s="2" t="str">
        <x:f>IF(OR(NOT(ISNUMBER(B23)),NOT(ISNUMBER(D23))),"n.b.",MAX(0,IF(NOT(ISNUMBER(C23)),B23,C23)-D23))</x:f>
        <x:v>n.b.</x:v>
      </x:c>
      <x:c r="F23" s="2" t="str">
        <x:v>Normaal</x:v>
      </x:c>
      <x:c r="G23" s="2" t="str">
        <x:v>Nog plannen</x:v>
      </x:c>
      <x:c r="H23" s="2" t="str"/>
      <x:c r="I23" s="2" t="str"/>
      <x:c r="J23" s="2" t="n">
        <x:v>3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 t="str">
        <x:v>Watertanks</x:v>
      </x:c>
      <x:c r="B24" s="2"/>
      <x:c r="C24" s="2"/>
      <x:c r="D24" s="2"/>
      <x:c r="E24" s="2" t="str">
        <x:f>IF(OR(NOT(ISNUMBER(B24)),NOT(ISNUMBER(D24))),"n.b.",MAX(0,IF(NOT(ISNUMBER(C24)),B24,C24)-D24))</x:f>
        <x:v>n.b.</x:v>
      </x:c>
      <x:c r="F24" s="2" t="str">
        <x:v>Normaal</x:v>
      </x:c>
      <x:c r="G24" s="2" t="str">
        <x:v>Nog plannen</x:v>
      </x:c>
      <x:c r="H24" s="2" t="str"/>
      <x:c r="I24" s="2" t="str"/>
      <x:c r="J24" s="2" t="n">
        <x:v>3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 t="str">
        <x:v>Waterpomp</x:v>
      </x:c>
      <x:c r="B25" s="2"/>
      <x:c r="C25" s="2"/>
      <x:c r="D25" s="2"/>
      <x:c r="E25" s="2" t="str">
        <x:f>IF(OR(NOT(ISNUMBER(B25)),NOT(ISNUMBER(D25))),"n.b.",MAX(0,IF(NOT(ISNUMBER(C25)),B25,C25)-D25))</x:f>
        <x:v>n.b.</x:v>
      </x:c>
      <x:c r="F25" s="2" t="str">
        <x:v>Normaal</x:v>
      </x:c>
      <x:c r="G25" s="2" t="str">
        <x:v>Nog plannen</x:v>
      </x:c>
      <x:c r="H25" s="2" t="str"/>
      <x:c r="I25" s="2" t="str"/>
      <x:c r="J25" s="2" t="n">
        <x:v>3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 t="str">
        <x:v>Douche</x:v>
      </x:c>
      <x:c r="B26" s="2"/>
      <x:c r="C26" s="2"/>
      <x:c r="D26" s="2"/>
      <x:c r="E26" s="2" t="str">
        <x:f>IF(OR(NOT(ISNUMBER(B26)),NOT(ISNUMBER(D26))),"n.b.",MAX(0,IF(NOT(ISNUMBER(C26)),B26,C26)-D26))</x:f>
        <x:v>n.b.</x:v>
      </x:c>
      <x:c r="F26" s="2" t="str">
        <x:v>Normaal</x:v>
      </x:c>
      <x:c r="G26" s="2" t="str">
        <x:v>Nog plannen</x:v>
      </x:c>
      <x:c r="H26" s="2" t="str"/>
      <x:c r="I26" s="2" t="str"/>
      <x:c r="J26" s="2" t="n">
        <x:v>3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 t="str">
        <x:v>Verwarming</x:v>
      </x:c>
      <x:c r="B27" s="2"/>
      <x:c r="C27" s="2"/>
      <x:c r="D27" s="2"/>
      <x:c r="E27" s="2" t="str">
        <x:f>IF(OR(NOT(ISNUMBER(B27)),NOT(ISNUMBER(D27))),"n.b.",MAX(0,IF(NOT(ISNUMBER(C27)),B27,C27)-D27))</x:f>
        <x:v>n.b.</x:v>
      </x:c>
      <x:c r="F27" s="2" t="str">
        <x:v>Normaal</x:v>
      </x:c>
      <x:c r="G27" s="2" t="str">
        <x:v>Nog plannen</x:v>
      </x:c>
      <x:c r="H27" s="2" t="str"/>
      <x:c r="I27" s="2" t="str"/>
      <x:c r="J27" s="2" t="n">
        <x:v>3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 t="str">
        <x:v>Ventilatie</x:v>
      </x:c>
      <x:c r="B28" s="2"/>
      <x:c r="C28" s="2"/>
      <x:c r="D28" s="2"/>
      <x:c r="E28" s="2" t="str">
        <x:f>IF(OR(NOT(ISNUMBER(B28)),NOT(ISNUMBER(D28))),"n.b.",MAX(0,IF(NOT(ISNUMBER(C28)),B28,C28)-D28))</x:f>
        <x:v>n.b.</x:v>
      </x:c>
      <x:c r="F28" s="2" t="str">
        <x:v>Normaal</x:v>
      </x:c>
      <x:c r="G28" s="2" t="str">
        <x:v>Nog plannen</x:v>
      </x:c>
      <x:c r="H28" s="2" t="str"/>
      <x:c r="I28" s="2" t="str"/>
      <x:c r="J28" s="2" t="n">
        <x:v>3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 t="str">
        <x:v>Ramen</x:v>
      </x:c>
      <x:c r="B29" s="2"/>
      <x:c r="C29" s="2"/>
      <x:c r="D29" s="2"/>
      <x:c r="E29" s="2" t="str">
        <x:f>IF(OR(NOT(ISNUMBER(B29)),NOT(ISNUMBER(D29))),"n.b.",MAX(0,IF(NOT(ISNUMBER(C29)),B29,C29)-D29))</x:f>
        <x:v>n.b.</x:v>
      </x:c>
      <x:c r="F29" s="2" t="str">
        <x:v>Normaal</x:v>
      </x:c>
      <x:c r="G29" s="2" t="str">
        <x:v>Nog plannen</x:v>
      </x:c>
      <x:c r="H29" s="2" t="str"/>
      <x:c r="I29" s="2" t="str"/>
      <x:c r="J29" s="2" t="n">
        <x:v>3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 t="str">
        <x:v>Meubels</x:v>
      </x:c>
      <x:c r="B30" s="2"/>
      <x:c r="C30" s="2"/>
      <x:c r="D30" s="2"/>
      <x:c r="E30" s="2" t="str">
        <x:f>IF(OR(NOT(ISNUMBER(B30)),NOT(ISNUMBER(D30))),"n.b.",MAX(0,IF(NOT(ISNUMBER(C30)),B30,C30)-D30))</x:f>
        <x:v>n.b.</x:v>
      </x:c>
      <x:c r="F30" s="2" t="str">
        <x:v>Normaal</x:v>
      </x:c>
      <x:c r="G30" s="2" t="str">
        <x:v>Nog plannen</x:v>
      </x:c>
      <x:c r="H30" s="2" t="str"/>
      <x:c r="I30" s="2" t="str"/>
      <x:c r="J30" s="2" t="n">
        <x:v>3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 t="str">
        <x:v>Hang- en sluitwerk</x:v>
      </x:c>
      <x:c r="B31" s="2"/>
      <x:c r="C31" s="2"/>
      <x:c r="D31" s="2"/>
      <x:c r="E31" s="2" t="str">
        <x:f>IF(OR(NOT(ISNUMBER(B31)),NOT(ISNUMBER(D31))),"n.b.",MAX(0,IF(NOT(ISNUMBER(C31)),B31,C31)-D31))</x:f>
        <x:v>n.b.</x:v>
      </x:c>
      <x:c r="F31" s="2" t="str">
        <x:v>Normaal</x:v>
      </x:c>
      <x:c r="G31" s="2" t="str">
        <x:v>Nog plannen</x:v>
      </x:c>
      <x:c r="H31" s="2" t="str"/>
      <x:c r="I31" s="2" t="str"/>
      <x:c r="J31" s="2" t="n">
        <x:v>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 t="str">
        <x:v>Onvoorzien</x:v>
      </x:c>
      <x:c r="B32" s="2"/>
      <x:c r="C32" s="2"/>
      <x:c r="D32" s="2"/>
      <x:c r="E32" s="2" t="str">
        <x:f>IF(OR(NOT(ISNUMBER(B32)),NOT(ISNUMBER(D32))),"n.b.",MAX(0,IF(NOT(ISNUMBER(C32)),B32,C32)-D32))</x:f>
        <x:v>n.b.</x:v>
      </x:c>
      <x:c r="F32" s="2" t="str">
        <x:v>Normaal</x:v>
      </x:c>
      <x:c r="G32" s="2" t="str">
        <x:v>Nog plannen</x:v>
      </x:c>
      <x:c r="H32" s="2" t="str"/>
      <x:c r="I32" s="2" t="str"/>
      <x:c r="J32" s="2" t="n">
        <x:v>3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 t="str">
        <x:v>Totaal begroot</x:v>
      </x:c>
      <x:c r="B35" s="2"/>
      <x:c r="C35" s="2"/>
      <x:c r="D35" s="2"/>
      <x:c r="E35" s="16" t="str">
        <x:f>IF(COUNT(B6:B32)&lt;27,"n.b.",SUM(B6:B32))</x:f>
        <x:v>n.b.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 t="str">
        <x:v>Nog te betalen</x:v>
      </x:c>
      <x:c r="B36" s="2"/>
      <x:c r="C36" s="2"/>
      <x:c r="D36" s="2"/>
      <x:c r="E36" s="16" t="str">
        <x:f>IF(COUNT(E6:E32)&lt;27,"n.b.",SUM(E6:E32))</x:f>
        <x:v>n.b.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35:D35"/>
    <x:mergeCell ref="E35:G35"/>
    <x:mergeCell ref="A36:D36"/>
    <x:mergeCell ref="E36:G36"/>
    <x:mergeCell ref="N2:P2"/>
  </x:mergeCells>
  <x:dataValidations count="2">
    <x:dataValidation type="list" sqref="F6:F32">
      <x:formula1>"Essentieel,Normaal,Later"</x:formula1>
    </x:dataValidation>
    <x:dataValidation type="list" sqref="J6:J32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b3bcaefb9741b3"/>
  </x:tableParts>
</x:worksheet>
</file>

<file path=xl/worksheets/sheet13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Financiële doelen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Reserveringen mogen samen nooit hetzelfde geld bevatten. Vermogensmijlpalen zijn meetdoelen en worden niet nogmaals als cashreserve afgetrokken.</x:v>
      </x:c>
      <x:c r="B3" s="5" t="str">
        <x:v>Reserveringen mogen samen nooit hetzelfde geld bevatten. Vermogensmijlpalen zijn meetdoelen en worden niet nogmaals als cashreserve afgetrokken.</x:v>
      </x:c>
      <x:c r="C3" s="5" t="str">
        <x:v>Reserveringen mogen samen nooit hetzelfde geld bevatten. Vermogensmijlpalen zijn meetdoelen en worden niet nogmaals als cashreserve afgetrokken.</x:v>
      </x:c>
      <x:c r="D3" s="5" t="str">
        <x:v>Reserveringen mogen samen nooit hetzelfde geld bevatten. Vermogensmijlpalen zijn meetdoelen en worden niet nogmaals als cashreserve afgetrokken.</x:v>
      </x:c>
      <x:c r="E3" s="5" t="str">
        <x:v>Reserveringen mogen samen nooit hetzelfde geld bevatten. Vermogensmijlpalen zijn meetdoelen en worden niet nogmaals als cashreserve afgetrokken.</x:v>
      </x:c>
      <x:c r="F3" s="5" t="str">
        <x:v>Reserveringen mogen samen nooit hetzelfde geld bevatten. Vermogensmijlpalen zijn meetdoelen en worden niet nogmaals als cashreserve afgetrokken.</x:v>
      </x:c>
      <x:c r="G3" s="5" t="str">
        <x:v>Reserveringen mogen samen nooit hetzelfde geld bevatten. Vermogensmijlpalen zijn meetdoelen en worden niet nogmaals als cashreserve afgetrokken.</x:v>
      </x:c>
      <x:c r="H3" s="5" t="str">
        <x:v>Reserveringen mogen samen nooit hetzelfde geld bevatten. Vermogensmijlpalen zijn meetdoelen en worden niet nogmaals als cashreserve afgetrokken.</x:v>
      </x:c>
      <x:c r="I3" s="5" t="str">
        <x:v>Reserveringen mogen samen nooit hetzelfde geld bevatten. Vermogensmijlpalen zijn meetdoelen en worden niet nogmaals als cashreserve afgetrokken.</x:v>
      </x:c>
      <x:c r="J3" s="5" t="str">
        <x:v>Reserveringen mogen samen nooit hetzelfde geld bevatten. Vermogensmijlpalen zijn meetdoelen en worden niet nogmaals als cashreserve afgetrokken.</x:v>
      </x:c>
      <x:c r="K3" s="5" t="str">
        <x:v>Reserveringen mogen samen nooit hetzelfde geld bevatten. Vermogensmijlpalen zijn meetdoelen en worden niet nogmaals als cashreserve afgetrokken.</x:v>
      </x:c>
      <x:c r="L3" s="5" t="str">
        <x:v>Reserveringen mogen samen nooit hetzelfde geld bevatten. Vermogensmijlpalen zijn meetdoelen en worden niet nogmaals als cashreserve afgetrokken.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Doel</x:v>
      </x:c>
      <x:c r="B5" s="8" t="str">
        <x:v>Doelbedrag</x:v>
      </x:c>
      <x:c r="C5" s="8" t="str">
        <x:v>Huidig</x:v>
      </x:c>
      <x:c r="D5" s="8" t="str">
        <x:v>Type</x:v>
      </x:c>
      <x:c r="E5" s="8" t="str">
        <x:v>Resterend</x:v>
      </x:c>
      <x:c r="F5" s="8" t="str">
        <x:v>Voortgang</x:v>
      </x:c>
      <x:c r="G5" s="8" t="str">
        <x:v>Maandinleg</x:v>
      </x:c>
      <x:c r="H5" s="8" t="str">
        <x:v>Gewenste datum</x:v>
      </x:c>
      <x:c r="I5" s="8" t="str">
        <x:v>Nodig / maand</x:v>
      </x:c>
      <x:c r="J5" s="8" t="str">
        <x:v>Werkdagen</x:v>
      </x:c>
      <x:c r="K5" s="8" t="str">
        <x:v>Geschatte datum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Sprinter</x:v>
      </x:c>
      <x:c r="B6" s="2" t="str">
        <x:f>'Van Purchase'!E15</x:f>
        <x:v>n.b.</x:v>
      </x:c>
      <x:c r="C6" s="2"/>
      <x:c r="D6" s="2" t="str">
        <x:v>Cashreserve</x:v>
      </x:c>
      <x:c r="E6" s="2" t="str">
        <x:f>IF(COUNT(B6:C6)&lt;2,"n.b.",MAX(0,B6-C6))</x:f>
        <x:v>n.b.</x:v>
      </x:c>
      <x:c r="F6" s="24" t="str">
        <x:f>IF(OR(COUNT(B6:C6)&lt;2,B6&lt;=0),"n.b.",MIN(1,C6/B6))</x:f>
        <x:v>n.b.</x:v>
      </x:c>
      <x:c r="G6" s="2"/>
      <x:c r="H6" s="13"/>
      <x:c r="I6" s="2" t="str">
        <x:f>IF(OR(NOT(ISNUMBER(E6)),NOT(ISNUMBER(H6)),H6&lt;='Settings &amp; Assumptions'!$B$6,D6="Inkomen"),"n.b.",E6/MAX(1,(H6-'Settings &amp; Assumptions'!$B$6)/30.4375))</x:f>
        <x:v>n.b.</x:v>
      </x:c>
      <x:c r="J6" s="2" t="str">
        <x:f>IF(OR(D6="Inkomen",NOT(ISNUMBER(E6)),NOT(ISNUMBER('Settings &amp; Assumptions'!$B$34)),'Settings &amp; Assumptions'!$B$34&lt;=0),"n.b.",ROUNDUP(E6/'Settings &amp; Assumptions'!$B$34,0))</x:f>
        <x:v>n.b.</x:v>
      </x:c>
      <x:c r="K6" s="13" t="str">
        <x:f>IF(OR(D6="Inkomen",NOT(ISNUMBER(E6)),G6&lt;=0),"n.b.",EDATE('Settings &amp; Assumptions'!$B$6,ROUNDUP(E6/G6,0)))</x:f>
        <x:v>n.b.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Ombouw</x:v>
      </x:c>
      <x:c r="B7" s="2" t="str">
        <x:f>'Van Conversion'!E35</x:f>
        <x:v>n.b.</x:v>
      </x:c>
      <x:c r="C7" s="2"/>
      <x:c r="D7" s="2" t="str">
        <x:v>Cashreserve</x:v>
      </x:c>
      <x:c r="E7" s="2" t="str">
        <x:f>IF(COUNT(B7:C7)&lt;2,"n.b.",MAX(0,B7-C7))</x:f>
        <x:v>n.b.</x:v>
      </x:c>
      <x:c r="F7" s="24" t="str">
        <x:f>IF(OR(COUNT(B7:C7)&lt;2,B7&lt;=0),"n.b.",MIN(1,C7/B7))</x:f>
        <x:v>n.b.</x:v>
      </x:c>
      <x:c r="G7" s="2"/>
      <x:c r="H7" s="13"/>
      <x:c r="I7" s="2" t="str">
        <x:f>IF(OR(NOT(ISNUMBER(E7)),NOT(ISNUMBER(H7)),H7&lt;='Settings &amp; Assumptions'!$B$6,D7="Inkomen"),"n.b.",E7/MAX(1,(H7-'Settings &amp; Assumptions'!$B$6)/30.4375))</x:f>
        <x:v>n.b.</x:v>
      </x:c>
      <x:c r="J7" s="2" t="str">
        <x:f>IF(OR(D7="Inkomen",NOT(ISNUMBER(E7)),NOT(ISNUMBER('Settings &amp; Assumptions'!$B$34)),'Settings &amp; Assumptions'!$B$34&lt;=0),"n.b.",ROUNDUP(E7/'Settings &amp; Assumptions'!$B$34,0))</x:f>
        <x:v>n.b.</x:v>
      </x:c>
      <x:c r="K7" s="13" t="str">
        <x:f>IF(OR(D7="Inkomen",NOT(ISNUMBER(E7)),G7&lt;=0),"n.b.",EDATE('Settings &amp; Assumptions'!$B$6,ROUNDUP(E7/G7,0)))</x:f>
        <x:v>n.b.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Noodbuffer</x:v>
      </x:c>
      <x:c r="B8" s="2" t="n">
        <x:v>20000</x:v>
      </x:c>
      <x:c r="C8" s="2"/>
      <x:c r="D8" s="2" t="str">
        <x:v>Cashreserve</x:v>
      </x:c>
      <x:c r="E8" s="2" t="str">
        <x:f>IF(COUNT(B8:C8)&lt;2,"n.b.",MAX(0,B8-C8))</x:f>
        <x:v>n.b.</x:v>
      </x:c>
      <x:c r="F8" s="24" t="str">
        <x:f>IF(OR(COUNT(B8:C8)&lt;2,B8&lt;=0),"n.b.",MIN(1,C8/B8))</x:f>
        <x:v>n.b.</x:v>
      </x:c>
      <x:c r="G8" s="2"/>
      <x:c r="H8" s="13"/>
      <x:c r="I8" s="2" t="str">
        <x:f>IF(OR(NOT(ISNUMBER(E8)),NOT(ISNUMBER(H8)),H8&lt;='Settings &amp; Assumptions'!$B$6,D8="Inkomen"),"n.b.",E8/MAX(1,(H8-'Settings &amp; Assumptions'!$B$6)/30.4375))</x:f>
        <x:v>n.b.</x:v>
      </x:c>
      <x:c r="J8" s="2" t="str">
        <x:f>IF(OR(D8="Inkomen",NOT(ISNUMBER(E8)),NOT(ISNUMBER('Settings &amp; Assumptions'!$B$34)),'Settings &amp; Assumptions'!$B$34&lt;=0),"n.b.",ROUNDUP(E8/'Settings &amp; Assumptions'!$B$34,0))</x:f>
        <x:v>n.b.</x:v>
      </x:c>
      <x:c r="K8" s="13" t="str">
        <x:f>IF(OR(D8="Inkomen",NOT(ISNUMBER(E8)),G8&lt;=0),"n.b.",EDATE('Settings &amp; Assumptions'!$B$6,ROUNDUP(E8/G8,0)))</x:f>
        <x:v>n.b.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Reisfonds</x:v>
      </x:c>
      <x:c r="B9" s="2"/>
      <x:c r="C9" s="2"/>
      <x:c r="D9" s="2" t="str">
        <x:v>Cashreserve</x:v>
      </x:c>
      <x:c r="E9" s="2" t="str">
        <x:f>IF(COUNT(B9:C9)&lt;2,"n.b.",MAX(0,B9-C9))</x:f>
        <x:v>n.b.</x:v>
      </x:c>
      <x:c r="F9" s="24" t="str">
        <x:f>IF(OR(COUNT(B9:C9)&lt;2,B9&lt;=0),"n.b.",MIN(1,C9/B9))</x:f>
        <x:v>n.b.</x:v>
      </x:c>
      <x:c r="G9" s="2"/>
      <x:c r="H9" s="13"/>
      <x:c r="I9" s="2" t="str">
        <x:f>IF(OR(NOT(ISNUMBER(E9)),NOT(ISNUMBER(H9)),H9&lt;='Settings &amp; Assumptions'!$B$6,D9="Inkomen"),"n.b.",E9/MAX(1,(H9-'Settings &amp; Assumptions'!$B$6)/30.4375))</x:f>
        <x:v>n.b.</x:v>
      </x:c>
      <x:c r="J9" s="2" t="str">
        <x:f>IF(OR(D9="Inkomen",NOT(ISNUMBER(E9)),NOT(ISNUMBER('Settings &amp; Assumptions'!$B$34)),'Settings &amp; Assumptions'!$B$34&lt;=0),"n.b.",ROUNDUP(E9/'Settings &amp; Assumptions'!$B$34,0))</x:f>
        <x:v>n.b.</x:v>
      </x:c>
      <x:c r="K9" s="13" t="str">
        <x:f>IF(OR(D9="Inkomen",NOT(ISNUMBER(E9)),G9&lt;=0),"n.b.",EDATE('Settings &amp; Assumptions'!$B$6,ROUNDUP(E9/G9,0)))</x:f>
        <x:v>n.b.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Investeringsinleg</x:v>
      </x:c>
      <x:c r="B10" s="2"/>
      <x:c r="C10" s="2"/>
      <x:c r="D10" s="2" t="str">
        <x:v>Cashreserve</x:v>
      </x:c>
      <x:c r="E10" s="2" t="str">
        <x:f>IF(COUNT(B10:C10)&lt;2,"n.b.",MAX(0,B10-C10))</x:f>
        <x:v>n.b.</x:v>
      </x:c>
      <x:c r="F10" s="24" t="str">
        <x:f>IF(OR(COUNT(B10:C10)&lt;2,B10&lt;=0),"n.b.",MIN(1,C10/B10))</x:f>
        <x:v>n.b.</x:v>
      </x:c>
      <x:c r="G10" s="2"/>
      <x:c r="H10" s="13"/>
      <x:c r="I10" s="2" t="str">
        <x:f>IF(OR(NOT(ISNUMBER(E10)),NOT(ISNUMBER(H10)),H10&lt;='Settings &amp; Assumptions'!$B$6,D10="Inkomen"),"n.b.",E10/MAX(1,(H10-'Settings &amp; Assumptions'!$B$6)/30.4375))</x:f>
        <x:v>n.b.</x:v>
      </x:c>
      <x:c r="J10" s="2" t="str">
        <x:f>IF(OR(D10="Inkomen",NOT(ISNUMBER(E10)),NOT(ISNUMBER('Settings &amp; Assumptions'!$B$34)),'Settings &amp; Assumptions'!$B$34&lt;=0),"n.b.",ROUNDUP(E10/'Settings &amp; Assumptions'!$B$34,0))</x:f>
        <x:v>n.b.</x:v>
      </x:c>
      <x:c r="K10" s="13" t="str">
        <x:f>IF(OR(D10="Inkomen",NOT(ISNUMBER(E10)),G10&lt;=0),"n.b.",EDATE('Settings &amp; Assumptions'!$B$6,ROUNDUP(E10/G10,0)))</x:f>
        <x:v>n.b.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€50.000 liquide</x:v>
      </x:c>
      <x:c r="B11" s="2" t="n">
        <x:v>50000</x:v>
      </x:c>
      <x:c r="C11" s="2"/>
      <x:c r="D11" s="2" t="str">
        <x:v>Mijlpaal</x:v>
      </x:c>
      <x:c r="E11" s="2" t="str">
        <x:f>IF(COUNT(B11:C11)&lt;2,"n.b.",MAX(0,B11-C11))</x:f>
        <x:v>n.b.</x:v>
      </x:c>
      <x:c r="F11" s="24" t="str">
        <x:f>IF(OR(COUNT(B11:C11)&lt;2,B11&lt;=0),"n.b.",MIN(1,C11/B11))</x:f>
        <x:v>n.b.</x:v>
      </x:c>
      <x:c r="G11" s="2"/>
      <x:c r="H11" s="13"/>
      <x:c r="I11" s="2" t="str">
        <x:f>IF(OR(NOT(ISNUMBER(E11)),NOT(ISNUMBER(H11)),H11&lt;='Settings &amp; Assumptions'!$B$6,D11="Inkomen"),"n.b.",E11/MAX(1,(H11-'Settings &amp; Assumptions'!$B$6)/30.4375))</x:f>
        <x:v>n.b.</x:v>
      </x:c>
      <x:c r="J11" s="2" t="str">
        <x:f>IF(OR(D11="Inkomen",NOT(ISNUMBER(E11)),NOT(ISNUMBER('Settings &amp; Assumptions'!$B$34)),'Settings &amp; Assumptions'!$B$34&lt;=0),"n.b.",ROUNDUP(E11/'Settings &amp; Assumptions'!$B$34,0))</x:f>
        <x:v>n.b.</x:v>
      </x:c>
      <x:c r="K11" s="13" t="str">
        <x:f>IF(OR(D11="Inkomen",NOT(ISNUMBER(E11)),G11&lt;=0),"n.b.",EDATE('Settings &amp; Assumptions'!$B$6,ROUNDUP(E11/G11,0)))</x:f>
        <x:v>n.b.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€100.000 liquide</x:v>
      </x:c>
      <x:c r="B12" s="2" t="n">
        <x:v>100000</x:v>
      </x:c>
      <x:c r="C12" s="2"/>
      <x:c r="D12" s="2" t="str">
        <x:v>Mijlpaal</x:v>
      </x:c>
      <x:c r="E12" s="2" t="str">
        <x:f>IF(COUNT(B12:C12)&lt;2,"n.b.",MAX(0,B12-C12))</x:f>
        <x:v>n.b.</x:v>
      </x:c>
      <x:c r="F12" s="24" t="str">
        <x:f>IF(OR(COUNT(B12:C12)&lt;2,B12&lt;=0),"n.b.",MIN(1,C12/B12))</x:f>
        <x:v>n.b.</x:v>
      </x:c>
      <x:c r="G12" s="2"/>
      <x:c r="H12" s="13"/>
      <x:c r="I12" s="2" t="str">
        <x:f>IF(OR(NOT(ISNUMBER(E12)),NOT(ISNUMBER(H12)),H12&lt;='Settings &amp; Assumptions'!$B$6,D12="Inkomen"),"n.b.",E12/MAX(1,(H12-'Settings &amp; Assumptions'!$B$6)/30.4375))</x:f>
        <x:v>n.b.</x:v>
      </x:c>
      <x:c r="J12" s="2" t="str">
        <x:f>IF(OR(D12="Inkomen",NOT(ISNUMBER(E12)),NOT(ISNUMBER('Settings &amp; Assumptions'!$B$34)),'Settings &amp; Assumptions'!$B$34&lt;=0),"n.b.",ROUNDUP(E12/'Settings &amp; Assumptions'!$B$34,0))</x:f>
        <x:v>n.b.</x:v>
      </x:c>
      <x:c r="K12" s="13" t="str">
        <x:f>IF(OR(D12="Inkomen",NOT(ISNUMBER(E12)),G12&lt;=0),"n.b.",EDATE('Settings &amp; Assumptions'!$B$6,ROUNDUP(E12/G12,0)))</x:f>
        <x:v>n.b.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€200.000 beleggingen</x:v>
      </x:c>
      <x:c r="B13" s="2" t="n">
        <x:v>200000</x:v>
      </x:c>
      <x:c r="C13" s="2"/>
      <x:c r="D13" s="2" t="str">
        <x:v>Mijlpaal</x:v>
      </x:c>
      <x:c r="E13" s="2" t="str">
        <x:f>IF(COUNT(B13:C13)&lt;2,"n.b.",MAX(0,B13-C13))</x:f>
        <x:v>n.b.</x:v>
      </x:c>
      <x:c r="F13" s="24" t="str">
        <x:f>IF(OR(COUNT(B13:C13)&lt;2,B13&lt;=0),"n.b.",MIN(1,C13/B13))</x:f>
        <x:v>n.b.</x:v>
      </x:c>
      <x:c r="G13" s="2"/>
      <x:c r="H13" s="13"/>
      <x:c r="I13" s="2" t="str">
        <x:f>IF(OR(NOT(ISNUMBER(E13)),NOT(ISNUMBER(H13)),H13&lt;='Settings &amp; Assumptions'!$B$6,D13="Inkomen"),"n.b.",E13/MAX(1,(H13-'Settings &amp; Assumptions'!$B$6)/30.4375))</x:f>
        <x:v>n.b.</x:v>
      </x:c>
      <x:c r="J13" s="2" t="str">
        <x:f>IF(OR(D13="Inkomen",NOT(ISNUMBER(E13)),NOT(ISNUMBER('Settings &amp; Assumptions'!$B$34)),'Settings &amp; Assumptions'!$B$34&lt;=0),"n.b.",ROUNDUP(E13/'Settings &amp; Assumptions'!$B$34,0))</x:f>
        <x:v>n.b.</x:v>
      </x:c>
      <x:c r="K13" s="13" t="str">
        <x:f>IF(OR(D13="Inkomen",NOT(ISNUMBER(E13)),G13&lt;=0),"n.b.",EDATE('Settings &amp; Assumptions'!$B$6,ROUNDUP(E13/G13,0)))</x:f>
        <x:v>n.b.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€1.000 passief / maand</x:v>
      </x:c>
      <x:c r="B14" s="2" t="n">
        <x:v>1000</x:v>
      </x:c>
      <x:c r="C14" s="2"/>
      <x:c r="D14" s="2" t="str">
        <x:v>Inkomen</x:v>
      </x:c>
      <x:c r="E14" s="2" t="str">
        <x:f>IF(COUNT(B14:C14)&lt;2,"n.b.",MAX(0,B14-C14))</x:f>
        <x:v>n.b.</x:v>
      </x:c>
      <x:c r="F14" s="24" t="str">
        <x:f>IF(OR(COUNT(B14:C14)&lt;2,B14&lt;=0),"n.b.",MIN(1,C14/B14))</x:f>
        <x:v>n.b.</x:v>
      </x:c>
      <x:c r="G14" s="2"/>
      <x:c r="H14" s="13"/>
      <x:c r="I14" s="2" t="str">
        <x:f>IF(OR(NOT(ISNUMBER(E14)),NOT(ISNUMBER(H14)),H14&lt;='Settings &amp; Assumptions'!$B$6,D14="Inkomen"),"n.b.",E14/MAX(1,(H14-'Settings &amp; Assumptions'!$B$6)/30.4375))</x:f>
        <x:v>n.b.</x:v>
      </x:c>
      <x:c r="J14" s="2" t="str">
        <x:f>IF(OR(D14="Inkomen",NOT(ISNUMBER(E14)),NOT(ISNUMBER('Settings &amp; Assumptions'!$B$34)),'Settings &amp; Assumptions'!$B$34&lt;=0),"n.b.",ROUNDUP(E14/'Settings &amp; Assumptions'!$B$34,0))</x:f>
        <x:v>n.b.</x:v>
      </x:c>
      <x:c r="K14" s="13" t="str">
        <x:f>IF(OR(D14="Inkomen",NOT(ISNUMBER(E14)),G14&lt;=0),"n.b.",EDATE('Settings &amp; Assumptions'!$B$6,ROUNDUP(E14/G14,0)))</x:f>
        <x:v>n.b.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€2.000 passief / maand</x:v>
      </x:c>
      <x:c r="B15" s="2" t="n">
        <x:v>2000</x:v>
      </x:c>
      <x:c r="C15" s="2"/>
      <x:c r="D15" s="2" t="str">
        <x:v>Inkomen</x:v>
      </x:c>
      <x:c r="E15" s="2" t="str">
        <x:f>IF(COUNT(B15:C15)&lt;2,"n.b.",MAX(0,B15-C15))</x:f>
        <x:v>n.b.</x:v>
      </x:c>
      <x:c r="F15" s="24" t="str">
        <x:f>IF(OR(COUNT(B15:C15)&lt;2,B15&lt;=0),"n.b.",MIN(1,C15/B15))</x:f>
        <x:v>n.b.</x:v>
      </x:c>
      <x:c r="G15" s="2"/>
      <x:c r="H15" s="13"/>
      <x:c r="I15" s="2" t="str">
        <x:f>IF(OR(NOT(ISNUMBER(E15)),NOT(ISNUMBER(H15)),H15&lt;='Settings &amp; Assumptions'!$B$6,D15="Inkomen"),"n.b.",E15/MAX(1,(H15-'Settings &amp; Assumptions'!$B$6)/30.4375))</x:f>
        <x:v>n.b.</x:v>
      </x:c>
      <x:c r="J15" s="2" t="str">
        <x:f>IF(OR(D15="Inkomen",NOT(ISNUMBER(E15)),NOT(ISNUMBER('Settings &amp; Assumptions'!$B$34)),'Settings &amp; Assumptions'!$B$34&lt;=0),"n.b.",ROUNDUP(E15/'Settings &amp; Assumptions'!$B$34,0))</x:f>
        <x:v>n.b.</x:v>
      </x:c>
      <x:c r="K15" s="13" t="str">
        <x:f>IF(OR(D15="Inkomen",NOT(ISNUMBER(E15)),G15&lt;=0),"n.b.",EDATE('Settings &amp; Assumptions'!$B$6,ROUNDUP(E15/G15,0)))</x:f>
        <x:v>n.b.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Financiële onafhankelijkheid</x:v>
      </x:c>
      <x:c r="B16" s="2"/>
      <x:c r="C16" s="2"/>
      <x:c r="D16" s="2" t="str">
        <x:v>Mijlpaal</x:v>
      </x:c>
      <x:c r="E16" s="2" t="str">
        <x:f>IF(COUNT(B16:C16)&lt;2,"n.b.",MAX(0,B16-C16))</x:f>
        <x:v>n.b.</x:v>
      </x:c>
      <x:c r="F16" s="24" t="str">
        <x:f>IF(OR(COUNT(B16:C16)&lt;2,B16&lt;=0),"n.b.",MIN(1,C16/B16))</x:f>
        <x:v>n.b.</x:v>
      </x:c>
      <x:c r="G16" s="2"/>
      <x:c r="H16" s="13"/>
      <x:c r="I16" s="2" t="str">
        <x:f>IF(OR(NOT(ISNUMBER(E16)),NOT(ISNUMBER(H16)),H16&lt;='Settings &amp; Assumptions'!$B$6,D16="Inkomen"),"n.b.",E16/MAX(1,(H16-'Settings &amp; Assumptions'!$B$6)/30.4375))</x:f>
        <x:v>n.b.</x:v>
      </x:c>
      <x:c r="J16" s="2" t="str">
        <x:f>IF(OR(D16="Inkomen",NOT(ISNUMBER(E16)),NOT(ISNUMBER('Settings &amp; Assumptions'!$B$34)),'Settings &amp; Assumptions'!$B$34&lt;=0),"n.b.",ROUNDUP(E16/'Settings &amp; Assumptions'!$B$34,0))</x:f>
        <x:v>n.b.</x:v>
      </x:c>
      <x:c r="K16" s="13" t="str">
        <x:f>IF(OR(D16="Inkomen",NOT(ISNUMBER(E16)),G16&lt;=0),"n.b.",EDATE('Settings &amp; Assumptions'!$B$6,ROUNDUP(E16/G16,0)))</x:f>
        <x:v>n.b.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32" customHeight="1">
      <x:c r="A19" s="5" t="str">
        <x:v>Geen kanspercentages: onvoldoende historische gegevens voor een verdedigbaar kansmodel. Vergelijk de cashprognose onder de drie scenario’s.</x:v>
      </x:c>
      <x:c r="B19" s="5" t="str">
        <x:v>Geen kanspercentages: onvoldoende historische gegevens voor een verdedigbaar kansmodel. Vergelijk de cashprognose onder de drie scenario’s.</x:v>
      </x:c>
      <x:c r="C19" s="5" t="str">
        <x:v>Geen kanspercentages: onvoldoende historische gegevens voor een verdedigbaar kansmodel. Vergelijk de cashprognose onder de drie scenario’s.</x:v>
      </x:c>
      <x:c r="D19" s="5" t="str">
        <x:v>Geen kanspercentages: onvoldoende historische gegevens voor een verdedigbaar kansmodel. Vergelijk de cashprognose onder de drie scenario’s.</x:v>
      </x:c>
      <x:c r="E19" s="5" t="str">
        <x:v>Geen kanspercentages: onvoldoende historische gegevens voor een verdedigbaar kansmodel. Vergelijk de cashprognose onder de drie scenario’s.</x:v>
      </x:c>
      <x:c r="F19" s="5" t="str">
        <x:v>Geen kanspercentages: onvoldoende historische gegevens voor een verdedigbaar kansmodel. Vergelijk de cashprognose onder de drie scenario’s.</x:v>
      </x:c>
      <x:c r="G19" s="5" t="str">
        <x:v>Geen kanspercentages: onvoldoende historische gegevens voor een verdedigbaar kansmodel. Vergelijk de cashprognose onder de drie scenario’s.</x:v>
      </x:c>
      <x:c r="H19" s="5" t="str">
        <x:v>Geen kanspercentages: onvoldoende historische gegevens voor een verdedigbaar kansmodel. Vergelijk de cashprognose onder de drie scenario’s.</x:v>
      </x:c>
      <x:c r="I19" s="5" t="str">
        <x:v>Geen kanspercentages: onvoldoende historische gegevens voor een verdedigbaar kansmodel. Vergelijk de cashprognose onder de drie scenario’s.</x:v>
      </x:c>
      <x:c r="J19" s="5" t="str">
        <x:v>Geen kanspercentages: onvoldoende historische gegevens voor een verdedigbaar kansmodel. Vergelijk de cashprognose onder de drie scenario’s.</x:v>
      </x:c>
      <x:c r="K19" s="5" t="str">
        <x:v>Geen kanspercentages: onvoldoende historische gegevens voor een verdedigbaar kansmodel. Vergelijk de cashprognose onder de drie scenario’s.</x:v>
      </x:c>
      <x:c r="L19" s="5" t="str">
        <x:v>Geen kanspercentages: onvoldoende historische gegevens voor een verdedigbaar kansmodel. Vergelijk de cashprognose onder de drie scenario’s.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19:L19"/>
    <x:mergeCell ref="N2:P2"/>
  </x:mergeCells>
  <x:conditionalFormatting sqref="F6:F16">
    <x:cfRule type="dataBar" priority="1">
      <x:dataBar>
        <x:cfvo type="min"/>
        <x:cfvo type="max"/>
        <x:color rgb="FF6BADFF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3fb1e4087b440ce"/>
  </x:tableParts>
</x:worksheet>
</file>

<file path=xl/worksheets/sheet14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Werken en reizen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Scenario’s op basis van omzet, kosten en de instelbare belastingreserve. Reisbudget vervangt het gewone leefbudget tijdens reizen.</x:v>
      </x:c>
      <x:c r="B3" s="5" t="str">
        <x:v>Scenario’s op basis van omzet, kosten en de instelbare belastingreserve. Reisbudget vervangt het gewone leefbudget tijdens reizen.</x:v>
      </x:c>
      <x:c r="C3" s="5" t="str">
        <x:v>Scenario’s op basis van omzet, kosten en de instelbare belastingreserve. Reisbudget vervangt het gewone leefbudget tijdens reizen.</x:v>
      </x:c>
      <x:c r="D3" s="5" t="str">
        <x:v>Scenario’s op basis van omzet, kosten en de instelbare belastingreserve. Reisbudget vervangt het gewone leefbudget tijdens reizen.</x:v>
      </x:c>
      <x:c r="E3" s="5" t="str">
        <x:v>Scenario’s op basis van omzet, kosten en de instelbare belastingreserve. Reisbudget vervangt het gewone leefbudget tijdens reizen.</x:v>
      </x:c>
      <x:c r="F3" s="5" t="str">
        <x:v>Scenario’s op basis van omzet, kosten en de instelbare belastingreserve. Reisbudget vervangt het gewone leefbudget tijdens reizen.</x:v>
      </x:c>
      <x:c r="G3" s="5" t="str">
        <x:v>Scenario’s op basis van omzet, kosten en de instelbare belastingreserve. Reisbudget vervangt het gewone leefbudget tijdens reizen.</x:v>
      </x:c>
      <x:c r="H3" s="5" t="str">
        <x:v>Scenario’s op basis van omzet, kosten en de instelbare belastingreserve. Reisbudget vervangt het gewone leefbudget tijdens reizen.</x:v>
      </x:c>
      <x:c r="I3" s="5" t="str">
        <x:v>Scenario’s op basis van omzet, kosten en de instelbare belastingreserve. Reisbudget vervangt het gewone leefbudget tijdens reizen.</x:v>
      </x:c>
      <x:c r="J3" s="5" t="str">
        <x:v>Scenario’s op basis van omzet, kosten en de instelbare belastingreserve. Reisbudget vervangt het gewone leefbudget tijdens reizen.</x:v>
      </x:c>
      <x:c r="K3" s="5" t="str">
        <x:v>Scenario’s op basis van omzet, kosten en de instelbare belastingreserve. Reisbudget vervangt het gewone leefbudget tijdens reizen.</x:v>
      </x:c>
      <x:c r="L3" s="5" t="str">
        <x:v>Scenario’s op basis van omzet, kosten en de instelbare belastingreserve. Reisbudget vervangt het gewone leefbudget tijdens reizen.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Werkmaanden</x:v>
      </x:c>
      <x:c r="B5" s="8" t="str">
        <x:v>Omzet / dag</x:v>
      </x:c>
      <x:c r="C5" s="8" t="str">
        <x:v>Werkdagen</x:v>
      </x:c>
      <x:c r="D5" s="8" t="str">
        <x:v>Jaaromzet</x:v>
      </x:c>
      <x:c r="E5" s="8" t="str">
        <x:v>Zakelijke kosten</x:v>
      </x:c>
      <x:c r="F5" s="8" t="str">
        <x:v>Winst</x:v>
      </x:c>
      <x:c r="G5" s="8" t="str">
        <x:v>Belastingreserve</x:v>
      </x:c>
      <x:c r="H5" s="8" t="str">
        <x:v>Privé beschikbaar</x:v>
      </x:c>
      <x:c r="I5" s="8" t="str">
        <x:v>Leefkosten werkmaanden</x:v>
      </x:c>
      <x:c r="J5" s="8" t="str">
        <x:v>Reiskosten</x:v>
      </x:c>
      <x:c r="K5" s="8" t="str">
        <x:v>Jaarsparen</x:v>
      </x:c>
      <x:c r="L5" s="8" t="str">
        <x:v>Cash eindjaar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n">
        <x:v>2</x:v>
      </x:c>
      <x:c r="B6" s="2" t="n">
        <x:v>500</x:v>
      </x:c>
      <x:c r="C6" s="2" t="n">
        <x:f>A6*'Settings &amp; Assumptions'!$B$20</x:f>
        <x:v>40</x:v>
      </x:c>
      <x:c r="D6" s="2" t="n">
        <x:f>B6*C6</x:f>
        <x:v>20000</x:v>
      </x:c>
      <x:c r="E6" s="2" t="str">
        <x:f>IF(COUNT('Settings &amp; Assumptions'!$B$17:'Settings &amp; Assumptions'!$B$18)&lt;2,"n.b.",D6*'Settings &amp; Assumptions'!$B$17+12*'Settings &amp; Assumptions'!$B$18)</x:f>
        <x:v>n.b.</x:v>
      </x:c>
      <x:c r="F6" s="2" t="str">
        <x:f>IF(ISNUMBER(E6),D6-E6,"n.b.")</x:f>
        <x:v>n.b.</x:v>
      </x:c>
      <x:c r="G6" s="2" t="str">
        <x:f>IF(OR(NOT(ISNUMBER(F6)),NOT(ISNUMBER('Settings &amp; Assumptions'!$B$19))),"n.b.",MAX(0,F6)*'Settings &amp; Assumptions'!$B$19)</x:f>
        <x:v>n.b.</x:v>
      </x:c>
      <x:c r="H6" s="2" t="str">
        <x:f>IF(COUNT(F6:G6)&lt;2,"n.b.",F6-G6)</x:f>
        <x:v>n.b.</x:v>
      </x:c>
      <x:c r="I6" s="2" t="n">
        <x:f>A6*'Settings &amp; Assumptions'!$B$23</x:f>
        <x:v>4000</x:v>
      </x:c>
      <x:c r="J6" s="2" t="n">
        <x:f>(12-A6)*'Settings &amp; Assumptions'!$B$24</x:f>
        <x:v>25000</x:v>
      </x:c>
      <x:c r="K6" s="2" t="str">
        <x:f>IF(ISNUMBER(H6),H6-I6-J6,"n.b.")</x:f>
        <x:v>n.b.</x:v>
      </x:c>
      <x:c r="L6" s="2" t="str">
        <x:f>IF(COUNT(K6,'Net Worth'!E15)&lt;2,"n.b.",K6+'Net Worth'!E15)</x:f>
        <x:v>n.b.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n">
        <x:v>2</x:v>
      </x:c>
      <x:c r="B7" s="2" t="n">
        <x:v>650</x:v>
      </x:c>
      <x:c r="C7" s="2" t="n">
        <x:f>A7*'Settings &amp; Assumptions'!$B$20</x:f>
        <x:v>40</x:v>
      </x:c>
      <x:c r="D7" s="2" t="n">
        <x:f>B7*C7</x:f>
        <x:v>26000</x:v>
      </x:c>
      <x:c r="E7" s="2" t="str">
        <x:f>IF(COUNT('Settings &amp; Assumptions'!$B$17:'Settings &amp; Assumptions'!$B$18)&lt;2,"n.b.",D7*'Settings &amp; Assumptions'!$B$17+12*'Settings &amp; Assumptions'!$B$18)</x:f>
        <x:v>n.b.</x:v>
      </x:c>
      <x:c r="F7" s="2" t="str">
        <x:f>IF(ISNUMBER(E7),D7-E7,"n.b.")</x:f>
        <x:v>n.b.</x:v>
      </x:c>
      <x:c r="G7" s="2" t="str">
        <x:f>IF(OR(NOT(ISNUMBER(F7)),NOT(ISNUMBER('Settings &amp; Assumptions'!$B$19))),"n.b.",MAX(0,F7)*'Settings &amp; Assumptions'!$B$19)</x:f>
        <x:v>n.b.</x:v>
      </x:c>
      <x:c r="H7" s="2" t="str">
        <x:f>IF(COUNT(F7:G7)&lt;2,"n.b.",F7-G7)</x:f>
        <x:v>n.b.</x:v>
      </x:c>
      <x:c r="I7" s="2" t="n">
        <x:f>A7*'Settings &amp; Assumptions'!$B$23</x:f>
        <x:v>4000</x:v>
      </x:c>
      <x:c r="J7" s="2" t="n">
        <x:f>(12-A7)*'Settings &amp; Assumptions'!$B$24</x:f>
        <x:v>25000</x:v>
      </x:c>
      <x:c r="K7" s="2" t="str">
        <x:f>IF(ISNUMBER(H7),H7-I7-J7,"n.b.")</x:f>
        <x:v>n.b.</x:v>
      </x:c>
      <x:c r="L7" s="2" t="str">
        <x:f>IF(COUNT(K7,'Net Worth'!E15)&lt;2,"n.b.",K7+'Net Worth'!E15)</x:f>
        <x:v>n.b.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n">
        <x:v>2</x:v>
      </x:c>
      <x:c r="B8" s="2" t="n">
        <x:v>800</x:v>
      </x:c>
      <x:c r="C8" s="2" t="n">
        <x:f>A8*'Settings &amp; Assumptions'!$B$20</x:f>
        <x:v>40</x:v>
      </x:c>
      <x:c r="D8" s="2" t="n">
        <x:f>B8*C8</x:f>
        <x:v>32000</x:v>
      </x:c>
      <x:c r="E8" s="2" t="str">
        <x:f>IF(COUNT('Settings &amp; Assumptions'!$B$17:'Settings &amp; Assumptions'!$B$18)&lt;2,"n.b.",D8*'Settings &amp; Assumptions'!$B$17+12*'Settings &amp; Assumptions'!$B$18)</x:f>
        <x:v>n.b.</x:v>
      </x:c>
      <x:c r="F8" s="2" t="str">
        <x:f>IF(ISNUMBER(E8),D8-E8,"n.b.")</x:f>
        <x:v>n.b.</x:v>
      </x:c>
      <x:c r="G8" s="2" t="str">
        <x:f>IF(OR(NOT(ISNUMBER(F8)),NOT(ISNUMBER('Settings &amp; Assumptions'!$B$19))),"n.b.",MAX(0,F8)*'Settings &amp; Assumptions'!$B$19)</x:f>
        <x:v>n.b.</x:v>
      </x:c>
      <x:c r="H8" s="2" t="str">
        <x:f>IF(COUNT(F8:G8)&lt;2,"n.b.",F8-G8)</x:f>
        <x:v>n.b.</x:v>
      </x:c>
      <x:c r="I8" s="2" t="n">
        <x:f>A8*'Settings &amp; Assumptions'!$B$23</x:f>
        <x:v>4000</x:v>
      </x:c>
      <x:c r="J8" s="2" t="n">
        <x:f>(12-A8)*'Settings &amp; Assumptions'!$B$24</x:f>
        <x:v>25000</x:v>
      </x:c>
      <x:c r="K8" s="2" t="str">
        <x:f>IF(ISNUMBER(H8),H8-I8-J8,"n.b.")</x:f>
        <x:v>n.b.</x:v>
      </x:c>
      <x:c r="L8" s="2" t="str">
        <x:f>IF(COUNT(K8,'Net Worth'!E15)&lt;2,"n.b.",K8+'Net Worth'!E15)</x:f>
        <x:v>n.b.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n">
        <x:v>3</x:v>
      </x:c>
      <x:c r="B9" s="2" t="n">
        <x:v>500</x:v>
      </x:c>
      <x:c r="C9" s="2" t="n">
        <x:f>A9*'Settings &amp; Assumptions'!$B$20</x:f>
        <x:v>60</x:v>
      </x:c>
      <x:c r="D9" s="2" t="n">
        <x:f>B9*C9</x:f>
        <x:v>30000</x:v>
      </x:c>
      <x:c r="E9" s="2" t="str">
        <x:f>IF(COUNT('Settings &amp; Assumptions'!$B$17:'Settings &amp; Assumptions'!$B$18)&lt;2,"n.b.",D9*'Settings &amp; Assumptions'!$B$17+12*'Settings &amp; Assumptions'!$B$18)</x:f>
        <x:v>n.b.</x:v>
      </x:c>
      <x:c r="F9" s="2" t="str">
        <x:f>IF(ISNUMBER(E9),D9-E9,"n.b.")</x:f>
        <x:v>n.b.</x:v>
      </x:c>
      <x:c r="G9" s="2" t="str">
        <x:f>IF(OR(NOT(ISNUMBER(F9)),NOT(ISNUMBER('Settings &amp; Assumptions'!$B$19))),"n.b.",MAX(0,F9)*'Settings &amp; Assumptions'!$B$19)</x:f>
        <x:v>n.b.</x:v>
      </x:c>
      <x:c r="H9" s="2" t="str">
        <x:f>IF(COUNT(F9:G9)&lt;2,"n.b.",F9-G9)</x:f>
        <x:v>n.b.</x:v>
      </x:c>
      <x:c r="I9" s="2" t="n">
        <x:f>A9*'Settings &amp; Assumptions'!$B$23</x:f>
        <x:v>6000</x:v>
      </x:c>
      <x:c r="J9" s="2" t="n">
        <x:f>(12-A9)*'Settings &amp; Assumptions'!$B$24</x:f>
        <x:v>22500</x:v>
      </x:c>
      <x:c r="K9" s="2" t="str">
        <x:f>IF(ISNUMBER(H9),H9-I9-J9,"n.b.")</x:f>
        <x:v>n.b.</x:v>
      </x:c>
      <x:c r="L9" s="2" t="str">
        <x:f>IF(COUNT(K9,'Net Worth'!E15)&lt;2,"n.b.",K9+'Net Worth'!E15)</x:f>
        <x:v>n.b.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n">
        <x:v>3</x:v>
      </x:c>
      <x:c r="B10" s="2" t="n">
        <x:v>650</x:v>
      </x:c>
      <x:c r="C10" s="2" t="n">
        <x:f>A10*'Settings &amp; Assumptions'!$B$20</x:f>
        <x:v>60</x:v>
      </x:c>
      <x:c r="D10" s="2" t="n">
        <x:f>B10*C10</x:f>
        <x:v>39000</x:v>
      </x:c>
      <x:c r="E10" s="2" t="str">
        <x:f>IF(COUNT('Settings &amp; Assumptions'!$B$17:'Settings &amp; Assumptions'!$B$18)&lt;2,"n.b.",D10*'Settings &amp; Assumptions'!$B$17+12*'Settings &amp; Assumptions'!$B$18)</x:f>
        <x:v>n.b.</x:v>
      </x:c>
      <x:c r="F10" s="2" t="str">
        <x:f>IF(ISNUMBER(E10),D10-E10,"n.b.")</x:f>
        <x:v>n.b.</x:v>
      </x:c>
      <x:c r="G10" s="2" t="str">
        <x:f>IF(OR(NOT(ISNUMBER(F10)),NOT(ISNUMBER('Settings &amp; Assumptions'!$B$19))),"n.b.",MAX(0,F10)*'Settings &amp; Assumptions'!$B$19)</x:f>
        <x:v>n.b.</x:v>
      </x:c>
      <x:c r="H10" s="2" t="str">
        <x:f>IF(COUNT(F10:G10)&lt;2,"n.b.",F10-G10)</x:f>
        <x:v>n.b.</x:v>
      </x:c>
      <x:c r="I10" s="2" t="n">
        <x:f>A10*'Settings &amp; Assumptions'!$B$23</x:f>
        <x:v>6000</x:v>
      </x:c>
      <x:c r="J10" s="2" t="n">
        <x:f>(12-A10)*'Settings &amp; Assumptions'!$B$24</x:f>
        <x:v>22500</x:v>
      </x:c>
      <x:c r="K10" s="2" t="str">
        <x:f>IF(ISNUMBER(H10),H10-I10-J10,"n.b.")</x:f>
        <x:v>n.b.</x:v>
      </x:c>
      <x:c r="L10" s="2" t="str">
        <x:f>IF(COUNT(K10,'Net Worth'!E15)&lt;2,"n.b.",K10+'Net Worth'!E15)</x:f>
        <x:v>n.b.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n">
        <x:v>3</x:v>
      </x:c>
      <x:c r="B11" s="2" t="n">
        <x:v>800</x:v>
      </x:c>
      <x:c r="C11" s="2" t="n">
        <x:f>A11*'Settings &amp; Assumptions'!$B$20</x:f>
        <x:v>60</x:v>
      </x:c>
      <x:c r="D11" s="2" t="n">
        <x:f>B11*C11</x:f>
        <x:v>48000</x:v>
      </x:c>
      <x:c r="E11" s="2" t="str">
        <x:f>IF(COUNT('Settings &amp; Assumptions'!$B$17:'Settings &amp; Assumptions'!$B$18)&lt;2,"n.b.",D11*'Settings &amp; Assumptions'!$B$17+12*'Settings &amp; Assumptions'!$B$18)</x:f>
        <x:v>n.b.</x:v>
      </x:c>
      <x:c r="F11" s="2" t="str">
        <x:f>IF(ISNUMBER(E11),D11-E11,"n.b.")</x:f>
        <x:v>n.b.</x:v>
      </x:c>
      <x:c r="G11" s="2" t="str">
        <x:f>IF(OR(NOT(ISNUMBER(F11)),NOT(ISNUMBER('Settings &amp; Assumptions'!$B$19))),"n.b.",MAX(0,F11)*'Settings &amp; Assumptions'!$B$19)</x:f>
        <x:v>n.b.</x:v>
      </x:c>
      <x:c r="H11" s="2" t="str">
        <x:f>IF(COUNT(F11:G11)&lt;2,"n.b.",F11-G11)</x:f>
        <x:v>n.b.</x:v>
      </x:c>
      <x:c r="I11" s="2" t="n">
        <x:f>A11*'Settings &amp; Assumptions'!$B$23</x:f>
        <x:v>6000</x:v>
      </x:c>
      <x:c r="J11" s="2" t="n">
        <x:f>(12-A11)*'Settings &amp; Assumptions'!$B$24</x:f>
        <x:v>22500</x:v>
      </x:c>
      <x:c r="K11" s="2" t="str">
        <x:f>IF(ISNUMBER(H11),H11-I11-J11,"n.b.")</x:f>
        <x:v>n.b.</x:v>
      </x:c>
      <x:c r="L11" s="2" t="str">
        <x:f>IF(COUNT(K11,'Net Worth'!E15)&lt;2,"n.b.",K11+'Net Worth'!E15)</x:f>
        <x:v>n.b.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n">
        <x:v>4</x:v>
      </x:c>
      <x:c r="B12" s="2" t="n">
        <x:v>500</x:v>
      </x:c>
      <x:c r="C12" s="2" t="n">
        <x:f>A12*'Settings &amp; Assumptions'!$B$20</x:f>
        <x:v>80</x:v>
      </x:c>
      <x:c r="D12" s="2" t="n">
        <x:f>B12*C12</x:f>
        <x:v>40000</x:v>
      </x:c>
      <x:c r="E12" s="2" t="str">
        <x:f>IF(COUNT('Settings &amp; Assumptions'!$B$17:'Settings &amp; Assumptions'!$B$18)&lt;2,"n.b.",D12*'Settings &amp; Assumptions'!$B$17+12*'Settings &amp; Assumptions'!$B$18)</x:f>
        <x:v>n.b.</x:v>
      </x:c>
      <x:c r="F12" s="2" t="str">
        <x:f>IF(ISNUMBER(E12),D12-E12,"n.b.")</x:f>
        <x:v>n.b.</x:v>
      </x:c>
      <x:c r="G12" s="2" t="str">
        <x:f>IF(OR(NOT(ISNUMBER(F12)),NOT(ISNUMBER('Settings &amp; Assumptions'!$B$19))),"n.b.",MAX(0,F12)*'Settings &amp; Assumptions'!$B$19)</x:f>
        <x:v>n.b.</x:v>
      </x:c>
      <x:c r="H12" s="2" t="str">
        <x:f>IF(COUNT(F12:G12)&lt;2,"n.b.",F12-G12)</x:f>
        <x:v>n.b.</x:v>
      </x:c>
      <x:c r="I12" s="2" t="n">
        <x:f>A12*'Settings &amp; Assumptions'!$B$23</x:f>
        <x:v>8000</x:v>
      </x:c>
      <x:c r="J12" s="2" t="n">
        <x:f>(12-A12)*'Settings &amp; Assumptions'!$B$24</x:f>
        <x:v>20000</x:v>
      </x:c>
      <x:c r="K12" s="2" t="str">
        <x:f>IF(ISNUMBER(H12),H12-I12-J12,"n.b.")</x:f>
        <x:v>n.b.</x:v>
      </x:c>
      <x:c r="L12" s="2" t="str">
        <x:f>IF(COUNT(K12,'Net Worth'!E15)&lt;2,"n.b.",K12+'Net Worth'!E15)</x:f>
        <x:v>n.b.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n">
        <x:v>4</x:v>
      </x:c>
      <x:c r="B13" s="2" t="n">
        <x:v>650</x:v>
      </x:c>
      <x:c r="C13" s="2" t="n">
        <x:f>A13*'Settings &amp; Assumptions'!$B$20</x:f>
        <x:v>80</x:v>
      </x:c>
      <x:c r="D13" s="2" t="n">
        <x:f>B13*C13</x:f>
        <x:v>52000</x:v>
      </x:c>
      <x:c r="E13" s="2" t="str">
        <x:f>IF(COUNT('Settings &amp; Assumptions'!$B$17:'Settings &amp; Assumptions'!$B$18)&lt;2,"n.b.",D13*'Settings &amp; Assumptions'!$B$17+12*'Settings &amp; Assumptions'!$B$18)</x:f>
        <x:v>n.b.</x:v>
      </x:c>
      <x:c r="F13" s="2" t="str">
        <x:f>IF(ISNUMBER(E13),D13-E13,"n.b.")</x:f>
        <x:v>n.b.</x:v>
      </x:c>
      <x:c r="G13" s="2" t="str">
        <x:f>IF(OR(NOT(ISNUMBER(F13)),NOT(ISNUMBER('Settings &amp; Assumptions'!$B$19))),"n.b.",MAX(0,F13)*'Settings &amp; Assumptions'!$B$19)</x:f>
        <x:v>n.b.</x:v>
      </x:c>
      <x:c r="H13" s="2" t="str">
        <x:f>IF(COUNT(F13:G13)&lt;2,"n.b.",F13-G13)</x:f>
        <x:v>n.b.</x:v>
      </x:c>
      <x:c r="I13" s="2" t="n">
        <x:f>A13*'Settings &amp; Assumptions'!$B$23</x:f>
        <x:v>8000</x:v>
      </x:c>
      <x:c r="J13" s="2" t="n">
        <x:f>(12-A13)*'Settings &amp; Assumptions'!$B$24</x:f>
        <x:v>20000</x:v>
      </x:c>
      <x:c r="K13" s="2" t="str">
        <x:f>IF(ISNUMBER(H13),H13-I13-J13,"n.b.")</x:f>
        <x:v>n.b.</x:v>
      </x:c>
      <x:c r="L13" s="2" t="str">
        <x:f>IF(COUNT(K13,'Net Worth'!E15)&lt;2,"n.b.",K13+'Net Worth'!E15)</x:f>
        <x:v>n.b.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n">
        <x:v>4</x:v>
      </x:c>
      <x:c r="B14" s="2" t="n">
        <x:v>800</x:v>
      </x:c>
      <x:c r="C14" s="2" t="n">
        <x:f>A14*'Settings &amp; Assumptions'!$B$20</x:f>
        <x:v>80</x:v>
      </x:c>
      <x:c r="D14" s="2" t="n">
        <x:f>B14*C14</x:f>
        <x:v>64000</x:v>
      </x:c>
      <x:c r="E14" s="2" t="str">
        <x:f>IF(COUNT('Settings &amp; Assumptions'!$B$17:'Settings &amp; Assumptions'!$B$18)&lt;2,"n.b.",D14*'Settings &amp; Assumptions'!$B$17+12*'Settings &amp; Assumptions'!$B$18)</x:f>
        <x:v>n.b.</x:v>
      </x:c>
      <x:c r="F14" s="2" t="str">
        <x:f>IF(ISNUMBER(E14),D14-E14,"n.b.")</x:f>
        <x:v>n.b.</x:v>
      </x:c>
      <x:c r="G14" s="2" t="str">
        <x:f>IF(OR(NOT(ISNUMBER(F14)),NOT(ISNUMBER('Settings &amp; Assumptions'!$B$19))),"n.b.",MAX(0,F14)*'Settings &amp; Assumptions'!$B$19)</x:f>
        <x:v>n.b.</x:v>
      </x:c>
      <x:c r="H14" s="2" t="str">
        <x:f>IF(COUNT(F14:G14)&lt;2,"n.b.",F14-G14)</x:f>
        <x:v>n.b.</x:v>
      </x:c>
      <x:c r="I14" s="2" t="n">
        <x:f>A14*'Settings &amp; Assumptions'!$B$23</x:f>
        <x:v>8000</x:v>
      </x:c>
      <x:c r="J14" s="2" t="n">
        <x:f>(12-A14)*'Settings &amp; Assumptions'!$B$24</x:f>
        <x:v>20000</x:v>
      </x:c>
      <x:c r="K14" s="2" t="str">
        <x:f>IF(ISNUMBER(H14),H14-I14-J14,"n.b.")</x:f>
        <x:v>n.b.</x:v>
      </x:c>
      <x:c r="L14" s="2" t="str">
        <x:f>IF(COUNT(K14,'Net Worth'!E15)&lt;2,"n.b.",K14+'Net Worth'!E15)</x:f>
        <x:v>n.b.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n">
        <x:v>5</x:v>
      </x:c>
      <x:c r="B15" s="2" t="n">
        <x:v>500</x:v>
      </x:c>
      <x:c r="C15" s="2" t="n">
        <x:f>A15*'Settings &amp; Assumptions'!$B$20</x:f>
        <x:v>100</x:v>
      </x:c>
      <x:c r="D15" s="2" t="n">
        <x:f>B15*C15</x:f>
        <x:v>50000</x:v>
      </x:c>
      <x:c r="E15" s="2" t="str">
        <x:f>IF(COUNT('Settings &amp; Assumptions'!$B$17:'Settings &amp; Assumptions'!$B$18)&lt;2,"n.b.",D15*'Settings &amp; Assumptions'!$B$17+12*'Settings &amp; Assumptions'!$B$18)</x:f>
        <x:v>n.b.</x:v>
      </x:c>
      <x:c r="F15" s="2" t="str">
        <x:f>IF(ISNUMBER(E15),D15-E15,"n.b.")</x:f>
        <x:v>n.b.</x:v>
      </x:c>
      <x:c r="G15" s="2" t="str">
        <x:f>IF(OR(NOT(ISNUMBER(F15)),NOT(ISNUMBER('Settings &amp; Assumptions'!$B$19))),"n.b.",MAX(0,F15)*'Settings &amp; Assumptions'!$B$19)</x:f>
        <x:v>n.b.</x:v>
      </x:c>
      <x:c r="H15" s="2" t="str">
        <x:f>IF(COUNT(F15:G15)&lt;2,"n.b.",F15-G15)</x:f>
        <x:v>n.b.</x:v>
      </x:c>
      <x:c r="I15" s="2" t="n">
        <x:f>A15*'Settings &amp; Assumptions'!$B$23</x:f>
        <x:v>10000</x:v>
      </x:c>
      <x:c r="J15" s="2" t="n">
        <x:f>(12-A15)*'Settings &amp; Assumptions'!$B$24</x:f>
        <x:v>17500</x:v>
      </x:c>
      <x:c r="K15" s="2" t="str">
        <x:f>IF(ISNUMBER(H15),H15-I15-J15,"n.b.")</x:f>
        <x:v>n.b.</x:v>
      </x:c>
      <x:c r="L15" s="2" t="str">
        <x:f>IF(COUNT(K15,'Net Worth'!E15)&lt;2,"n.b.",K15+'Net Worth'!E15)</x:f>
        <x:v>n.b.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n">
        <x:v>5</x:v>
      </x:c>
      <x:c r="B16" s="2" t="n">
        <x:v>650</x:v>
      </x:c>
      <x:c r="C16" s="2" t="n">
        <x:f>A16*'Settings &amp; Assumptions'!$B$20</x:f>
        <x:v>100</x:v>
      </x:c>
      <x:c r="D16" s="2" t="n">
        <x:f>B16*C16</x:f>
        <x:v>65000</x:v>
      </x:c>
      <x:c r="E16" s="2" t="str">
        <x:f>IF(COUNT('Settings &amp; Assumptions'!$B$17:'Settings &amp; Assumptions'!$B$18)&lt;2,"n.b.",D16*'Settings &amp; Assumptions'!$B$17+12*'Settings &amp; Assumptions'!$B$18)</x:f>
        <x:v>n.b.</x:v>
      </x:c>
      <x:c r="F16" s="2" t="str">
        <x:f>IF(ISNUMBER(E16),D16-E16,"n.b.")</x:f>
        <x:v>n.b.</x:v>
      </x:c>
      <x:c r="G16" s="2" t="str">
        <x:f>IF(OR(NOT(ISNUMBER(F16)),NOT(ISNUMBER('Settings &amp; Assumptions'!$B$19))),"n.b.",MAX(0,F16)*'Settings &amp; Assumptions'!$B$19)</x:f>
        <x:v>n.b.</x:v>
      </x:c>
      <x:c r="H16" s="2" t="str">
        <x:f>IF(COUNT(F16:G16)&lt;2,"n.b.",F16-G16)</x:f>
        <x:v>n.b.</x:v>
      </x:c>
      <x:c r="I16" s="2" t="n">
        <x:f>A16*'Settings &amp; Assumptions'!$B$23</x:f>
        <x:v>10000</x:v>
      </x:c>
      <x:c r="J16" s="2" t="n">
        <x:f>(12-A16)*'Settings &amp; Assumptions'!$B$24</x:f>
        <x:v>17500</x:v>
      </x:c>
      <x:c r="K16" s="2" t="str">
        <x:f>IF(ISNUMBER(H16),H16-I16-J16,"n.b.")</x:f>
        <x:v>n.b.</x:v>
      </x:c>
      <x:c r="L16" s="2" t="str">
        <x:f>IF(COUNT(K16,'Net Worth'!E15)&lt;2,"n.b.",K16+'Net Worth'!E15)</x:f>
        <x:v>n.b.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n">
        <x:v>5</x:v>
      </x:c>
      <x:c r="B17" s="2" t="n">
        <x:v>800</x:v>
      </x:c>
      <x:c r="C17" s="2" t="n">
        <x:f>A17*'Settings &amp; Assumptions'!$B$20</x:f>
        <x:v>100</x:v>
      </x:c>
      <x:c r="D17" s="2" t="n">
        <x:f>B17*C17</x:f>
        <x:v>80000</x:v>
      </x:c>
      <x:c r="E17" s="2" t="str">
        <x:f>IF(COUNT('Settings &amp; Assumptions'!$B$17:'Settings &amp; Assumptions'!$B$18)&lt;2,"n.b.",D17*'Settings &amp; Assumptions'!$B$17+12*'Settings &amp; Assumptions'!$B$18)</x:f>
        <x:v>n.b.</x:v>
      </x:c>
      <x:c r="F17" s="2" t="str">
        <x:f>IF(ISNUMBER(E17),D17-E17,"n.b.")</x:f>
        <x:v>n.b.</x:v>
      </x:c>
      <x:c r="G17" s="2" t="str">
        <x:f>IF(OR(NOT(ISNUMBER(F17)),NOT(ISNUMBER('Settings &amp; Assumptions'!$B$19))),"n.b.",MAX(0,F17)*'Settings &amp; Assumptions'!$B$19)</x:f>
        <x:v>n.b.</x:v>
      </x:c>
      <x:c r="H17" s="2" t="str">
        <x:f>IF(COUNT(F17:G17)&lt;2,"n.b.",F17-G17)</x:f>
        <x:v>n.b.</x:v>
      </x:c>
      <x:c r="I17" s="2" t="n">
        <x:f>A17*'Settings &amp; Assumptions'!$B$23</x:f>
        <x:v>10000</x:v>
      </x:c>
      <x:c r="J17" s="2" t="n">
        <x:f>(12-A17)*'Settings &amp; Assumptions'!$B$24</x:f>
        <x:v>17500</x:v>
      </x:c>
      <x:c r="K17" s="2" t="str">
        <x:f>IF(ISNUMBER(H17),H17-I17-J17,"n.b.")</x:f>
        <x:v>n.b.</x:v>
      </x:c>
      <x:c r="L17" s="2" t="str">
        <x:f>IF(COUNT(K17,'Net Worth'!E15)&lt;2,"n.b.",K17+'Net Worth'!E15)</x:f>
        <x:v>n.b.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n">
        <x:v>6</x:v>
      </x:c>
      <x:c r="B18" s="2" t="n">
        <x:v>500</x:v>
      </x:c>
      <x:c r="C18" s="2" t="n">
        <x:f>A18*'Settings &amp; Assumptions'!$B$20</x:f>
        <x:v>120</x:v>
      </x:c>
      <x:c r="D18" s="2" t="n">
        <x:f>B18*C18</x:f>
        <x:v>60000</x:v>
      </x:c>
      <x:c r="E18" s="2" t="str">
        <x:f>IF(COUNT('Settings &amp; Assumptions'!$B$17:'Settings &amp; Assumptions'!$B$18)&lt;2,"n.b.",D18*'Settings &amp; Assumptions'!$B$17+12*'Settings &amp; Assumptions'!$B$18)</x:f>
        <x:v>n.b.</x:v>
      </x:c>
      <x:c r="F18" s="2" t="str">
        <x:f>IF(ISNUMBER(E18),D18-E18,"n.b.")</x:f>
        <x:v>n.b.</x:v>
      </x:c>
      <x:c r="G18" s="2" t="str">
        <x:f>IF(OR(NOT(ISNUMBER(F18)),NOT(ISNUMBER('Settings &amp; Assumptions'!$B$19))),"n.b.",MAX(0,F18)*'Settings &amp; Assumptions'!$B$19)</x:f>
        <x:v>n.b.</x:v>
      </x:c>
      <x:c r="H18" s="2" t="str">
        <x:f>IF(COUNT(F18:G18)&lt;2,"n.b.",F18-G18)</x:f>
        <x:v>n.b.</x:v>
      </x:c>
      <x:c r="I18" s="2" t="n">
        <x:f>A18*'Settings &amp; Assumptions'!$B$23</x:f>
        <x:v>12000</x:v>
      </x:c>
      <x:c r="J18" s="2" t="n">
        <x:f>(12-A18)*'Settings &amp; Assumptions'!$B$24</x:f>
        <x:v>15000</x:v>
      </x:c>
      <x:c r="K18" s="2" t="str">
        <x:f>IF(ISNUMBER(H18),H18-I18-J18,"n.b.")</x:f>
        <x:v>n.b.</x:v>
      </x:c>
      <x:c r="L18" s="2" t="str">
        <x:f>IF(COUNT(K18,'Net Worth'!E15)&lt;2,"n.b.",K18+'Net Worth'!E15)</x:f>
        <x:v>n.b.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n">
        <x:v>6</x:v>
      </x:c>
      <x:c r="B19" s="2" t="n">
        <x:v>650</x:v>
      </x:c>
      <x:c r="C19" s="2" t="n">
        <x:f>A19*'Settings &amp; Assumptions'!$B$20</x:f>
        <x:v>120</x:v>
      </x:c>
      <x:c r="D19" s="2" t="n">
        <x:f>B19*C19</x:f>
        <x:v>78000</x:v>
      </x:c>
      <x:c r="E19" s="2" t="str">
        <x:f>IF(COUNT('Settings &amp; Assumptions'!$B$17:'Settings &amp; Assumptions'!$B$18)&lt;2,"n.b.",D19*'Settings &amp; Assumptions'!$B$17+12*'Settings &amp; Assumptions'!$B$18)</x:f>
        <x:v>n.b.</x:v>
      </x:c>
      <x:c r="F19" s="2" t="str">
        <x:f>IF(ISNUMBER(E19),D19-E19,"n.b.")</x:f>
        <x:v>n.b.</x:v>
      </x:c>
      <x:c r="G19" s="2" t="str">
        <x:f>IF(OR(NOT(ISNUMBER(F19)),NOT(ISNUMBER('Settings &amp; Assumptions'!$B$19))),"n.b.",MAX(0,F19)*'Settings &amp; Assumptions'!$B$19)</x:f>
        <x:v>n.b.</x:v>
      </x:c>
      <x:c r="H19" s="2" t="str">
        <x:f>IF(COUNT(F19:G19)&lt;2,"n.b.",F19-G19)</x:f>
        <x:v>n.b.</x:v>
      </x:c>
      <x:c r="I19" s="2" t="n">
        <x:f>A19*'Settings &amp; Assumptions'!$B$23</x:f>
        <x:v>12000</x:v>
      </x:c>
      <x:c r="J19" s="2" t="n">
        <x:f>(12-A19)*'Settings &amp; Assumptions'!$B$24</x:f>
        <x:v>15000</x:v>
      </x:c>
      <x:c r="K19" s="2" t="str">
        <x:f>IF(ISNUMBER(H19),H19-I19-J19,"n.b.")</x:f>
        <x:v>n.b.</x:v>
      </x:c>
      <x:c r="L19" s="2" t="str">
        <x:f>IF(COUNT(K19,'Net Worth'!E15)&lt;2,"n.b.",K19+'Net Worth'!E15)</x:f>
        <x:v>n.b.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n">
        <x:v>6</x:v>
      </x:c>
      <x:c r="B20" s="2" t="n">
        <x:v>800</x:v>
      </x:c>
      <x:c r="C20" s="2" t="n">
        <x:f>A20*'Settings &amp; Assumptions'!$B$20</x:f>
        <x:v>120</x:v>
      </x:c>
      <x:c r="D20" s="2" t="n">
        <x:f>B20*C20</x:f>
        <x:v>96000</x:v>
      </x:c>
      <x:c r="E20" s="2" t="str">
        <x:f>IF(COUNT('Settings &amp; Assumptions'!$B$17:'Settings &amp; Assumptions'!$B$18)&lt;2,"n.b.",D20*'Settings &amp; Assumptions'!$B$17+12*'Settings &amp; Assumptions'!$B$18)</x:f>
        <x:v>n.b.</x:v>
      </x:c>
      <x:c r="F20" s="2" t="str">
        <x:f>IF(ISNUMBER(E20),D20-E20,"n.b.")</x:f>
        <x:v>n.b.</x:v>
      </x:c>
      <x:c r="G20" s="2" t="str">
        <x:f>IF(OR(NOT(ISNUMBER(F20)),NOT(ISNUMBER('Settings &amp; Assumptions'!$B$19))),"n.b.",MAX(0,F20)*'Settings &amp; Assumptions'!$B$19)</x:f>
        <x:v>n.b.</x:v>
      </x:c>
      <x:c r="H20" s="2" t="str">
        <x:f>IF(COUNT(F20:G20)&lt;2,"n.b.",F20-G20)</x:f>
        <x:v>n.b.</x:v>
      </x:c>
      <x:c r="I20" s="2" t="n">
        <x:f>A20*'Settings &amp; Assumptions'!$B$23</x:f>
        <x:v>12000</x:v>
      </x:c>
      <x:c r="J20" s="2" t="n">
        <x:f>(12-A20)*'Settings &amp; Assumptions'!$B$24</x:f>
        <x:v>15000</x:v>
      </x:c>
      <x:c r="K20" s="2" t="str">
        <x:f>IF(ISNUMBER(H20),H20-I20-J20,"n.b.")</x:f>
        <x:v>n.b.</x:v>
      </x:c>
      <x:c r="L20" s="2" t="str">
        <x:f>IF(COUNT(K20,'Net Worth'!E15)&lt;2,"n.b.",K20+'Net Worth'!E15)</x:f>
        <x:v>n.b.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40" customHeight="1">
      <x:c r="A24" s="8" t="str">
        <x:v>Maandbudget</x:v>
      </x:c>
      <x:c r="B24" s="8" t="str">
        <x:v>Maanden zonder inkomen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 t="n">
        <x:v>1000</x:v>
      </x:c>
      <x:c r="B25" s="2" t="str">
        <x:f>IF(ISNUMBER('Net Worth'!E15),MAX(0,'Net Worth'!E15)/A25,"n.b.")</x:f>
        <x:v>n.b.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 t="n">
        <x:v>1500</x:v>
      </x:c>
      <x:c r="B26" s="2" t="str">
        <x:f>IF(ISNUMBER('Net Worth'!E15),MAX(0,'Net Worth'!E15)/A26,"n.b.")</x:f>
        <x:v>n.b.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 t="n">
        <x:v>2000</x:v>
      </x:c>
      <x:c r="B27" s="2" t="str">
        <x:f>IF(ISNUMBER('Net Worth'!E15),MAX(0,'Net Worth'!E15)/A27,"n.b.")</x:f>
        <x:v>n.b.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 t="n">
        <x:v>2500</x:v>
      </x:c>
      <x:c r="B28" s="2" t="str">
        <x:f>IF(ISNUMBER('Net Worth'!E15),MAX(0,'Net Worth'!E15)/A28,"n.b.")</x:f>
        <x:v>n.b.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 t="n">
        <x:v>3000</x:v>
      </x:c>
      <x:c r="B29" s="2" t="str">
        <x:f>IF(ISNUMBER('Net Worth'!E15),MAX(0,'Net Worth'!E15)/A29,"n.b.")</x:f>
        <x:v>n.b.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 t="str">
        <x:v>Minimale jaarlijkse privébehoefte</x:v>
      </x:c>
      <x:c r="B33" s="2"/>
      <x:c r="C33" s="2"/>
      <x:c r="D33" s="2"/>
      <x:c r="E33" s="16" t="n">
        <x:f>'Settings &amp; Assumptions'!$B$22*12</x:f>
        <x:v>12000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 t="str">
        <x:v>Werkdagen voor minimumleven</x:v>
      </x:c>
      <x:c r="B34" s="2"/>
      <x:c r="C34" s="2"/>
      <x:c r="D34" s="2"/>
      <x:c r="E34" s="22" t="str">
        <x:f>IF(OR(NOT(ISNUMBER('Settings &amp; Assumptions'!$B$34)),'Settings &amp; Assumptions'!$B$34&lt;=0),"n.b.",ROUNDUP(E33/'Settings &amp; Assumptions'!$B$34,0))</x:f>
        <x:v>n.b.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 t="str">
        <x:v>Werkmaanden voor minimumleven</x:v>
      </x:c>
      <x:c r="B35" s="2"/>
      <x:c r="C35" s="2"/>
      <x:c r="D35" s="2"/>
      <x:c r="E35" s="19" t="str">
        <x:f>IF(ISNUMBER(E34),E34/'Settings &amp; Assumptions'!$B$20,"n.b.")</x:f>
        <x:v>n.b.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 t="str">
        <x:v>Reismaanden met vrije cash</x:v>
      </x:c>
      <x:c r="B36" s="2"/>
      <x:c r="C36" s="2"/>
      <x:c r="D36" s="2"/>
      <x:c r="E36" s="19" t="str">
        <x:f>IF(ISNUMBER('Net Worth'!E15),MAX(0,'Net Worth'!E15)/'Settings &amp; Assumptions'!$B$24,"n.b.")</x:f>
        <x:v>n.b.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 t="str">
        <x:v>Passief gedekt comfortabel</x:v>
      </x:c>
      <x:c r="B37" s="2"/>
      <x:c r="C37" s="2"/>
      <x:c r="D37" s="2"/>
      <x:c r="E37" s="17" t="str">
        <x:f>IF(NOT(ISNUMBER('Settings &amp; Assumptions'!$B$30)),"n.b.",'Settings &amp; Assumptions'!$B$30/'Settings &amp; Assumptions'!$B$23)</x:f>
        <x:v>n.b.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33:D33"/>
    <x:mergeCell ref="E33:G33"/>
    <x:mergeCell ref="A34:D34"/>
    <x:mergeCell ref="E34:G34"/>
    <x:mergeCell ref="A35:D35"/>
    <x:mergeCell ref="E35:G35"/>
    <x:mergeCell ref="A36:D36"/>
    <x:mergeCell ref="E36:G36"/>
    <x:mergeCell ref="A37:D37"/>
    <x:mergeCell ref="E37:G37"/>
    <x:mergeCell ref="N2:P2"/>
  </x:mergeCells>
  <x:pageMargins left="0.7" right="0.7" top="0.75" bottom="0.75" header="0.3" footer="0.3"/>
  <x:tableParts count="2">
    <x:tablePart xmlns:r="http://schemas.openxmlformats.org/officeDocument/2006/relationships" r:id="Rc247451c10c441d6"/>
    <x:tablePart xmlns:r="http://schemas.openxmlformats.org/officeDocument/2006/relationships" r:id="R30b72f2a01624348"/>
  </x:tableParts>
</x:worksheet>
</file>

<file path=xl/worksheets/sheet15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Werk- en reisplanning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Vul alle 36 maanden expliciet in. Geen veronderstelde gelijke omzetverdeling. Een leeg werk-/reisveld blokkeert de prognose.</x:v>
      </x:c>
      <x:c r="B3" s="5" t="str">
        <x:v>Vul alle 36 maanden expliciet in. Geen veronderstelde gelijke omzetverdeling. Een leeg werk-/reisveld blokkeert de prognose.</x:v>
      </x:c>
      <x:c r="C3" s="5" t="str">
        <x:v>Vul alle 36 maanden expliciet in. Geen veronderstelde gelijke omzetverdeling. Een leeg werk-/reisveld blokkeert de prognose.</x:v>
      </x:c>
      <x:c r="D3" s="5" t="str">
        <x:v>Vul alle 36 maanden expliciet in. Geen veronderstelde gelijke omzetverdeling. Een leeg werk-/reisveld blokkeert de prognose.</x:v>
      </x:c>
      <x:c r="E3" s="5" t="str">
        <x:v>Vul alle 36 maanden expliciet in. Geen veronderstelde gelijke omzetverdeling. Een leeg werk-/reisveld blokkeert de prognose.</x:v>
      </x:c>
      <x:c r="F3" s="5" t="str">
        <x:v>Vul alle 36 maanden expliciet in. Geen veronderstelde gelijke omzetverdeling. Een leeg werk-/reisveld blokkeert de prognose.</x:v>
      </x:c>
      <x:c r="G3" s="5" t="str">
        <x:v>Vul alle 36 maanden expliciet in. Geen veronderstelde gelijke omzetverdeling. Een leeg werk-/reisveld blokkeert de prognose.</x:v>
      </x:c>
      <x:c r="H3" s="5" t="str">
        <x:v>Vul alle 36 maanden expliciet in. Geen veronderstelde gelijke omzetverdeling. Een leeg werk-/reisveld blokkeert de prognose.</x:v>
      </x:c>
      <x:c r="I3" s="5" t="str">
        <x:v>Vul alle 36 maanden expliciet in. Geen veronderstelde gelijke omzetverdeling. Een leeg werk-/reisveld blokkeert de prognose.</x:v>
      </x:c>
      <x:c r="J3" s="5" t="str">
        <x:v>Vul alle 36 maanden expliciet in. Geen veronderstelde gelijke omzetverdeling. Een leeg werk-/reisveld blokkeert de prognose.</x:v>
      </x:c>
      <x:c r="K3" s="5" t="str">
        <x:v>Vul alle 36 maanden expliciet in. Geen veronderstelde gelijke omzetverdeling. Een leeg werk-/reisveld blokkeert de prognose.</x:v>
      </x:c>
      <x:c r="L3" s="5" t="str">
        <x:v>Vul alle 36 maanden expliciet in. Geen veronderstelde gelijke omzetverdeling. Een leeg werk-/reisveld blokkeert de prognose.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Maand</x:v>
      </x:c>
      <x:c r="B5" s="8" t="str">
        <x:v>Werkdagen</x:v>
      </x:c>
      <x:c r="C5" s="8" t="str">
        <x:v>Reismaand 0/1</x:v>
      </x:c>
      <x:c r="D5" s="8" t="str">
        <x:v>Ontvangsten extra incl. btw</x:v>
      </x:c>
      <x:c r="E5" s="8" t="str">
        <x:v>Busbetaling</x:v>
      </x:c>
      <x:c r="F5" s="8" t="str">
        <x:v>Ombouwbetaling</x:v>
      </x:c>
      <x:c r="G5" s="8" t="str">
        <x:v>Beleggingsinleg</x:v>
      </x:c>
      <x:c r="H5" s="8" t="str">
        <x:v>Btw cashbetaling</x:v>
      </x:c>
      <x:c r="I5" s="8" t="str">
        <x:v>IB cashbetaling</x:v>
      </x:c>
      <x:c r="J5" s="8" t="str">
        <x:v>Overige cashbetaling</x:v>
      </x:c>
      <x:c r="K5" s="8" t="str">
        <x:v>Opmerking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14" t="n">
        <x:f>EDATE('Settings &amp; Assumptions'!$B$35,0)</x:f>
        <x:v>46327</x:v>
      </x:c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14" t="n">
        <x:f>EDATE('Settings &amp; Assumptions'!$B$35,1)</x:f>
        <x:v>46357</x:v>
      </x:c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14" t="n">
        <x:f>EDATE('Settings &amp; Assumptions'!$B$35,2)</x:f>
        <x:v>46388</x:v>
      </x:c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14" t="n">
        <x:f>EDATE('Settings &amp; Assumptions'!$B$35,3)</x:f>
        <x:v>46419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14" t="n">
        <x:f>EDATE('Settings &amp; Assumptions'!$B$35,4)</x:f>
        <x:v>46447</x:v>
      </x:c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14" t="n">
        <x:f>EDATE('Settings &amp; Assumptions'!$B$35,5)</x:f>
        <x:v>46478</x:v>
      </x:c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14" t="n">
        <x:f>EDATE('Settings &amp; Assumptions'!$B$35,6)</x:f>
        <x:v>46508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14" t="n">
        <x:f>EDATE('Settings &amp; Assumptions'!$B$35,7)</x:f>
        <x:v>46539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14" t="n">
        <x:f>EDATE('Settings &amp; Assumptions'!$B$35,8)</x:f>
        <x:v>46569</x:v>
      </x:c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14" t="n">
        <x:f>EDATE('Settings &amp; Assumptions'!$B$35,9)</x:f>
        <x:v>46600</x:v>
      </x:c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14" t="n">
        <x:f>EDATE('Settings &amp; Assumptions'!$B$35,10)</x:f>
        <x:v>46631</x:v>
      </x:c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14" t="n">
        <x:f>EDATE('Settings &amp; Assumptions'!$B$35,11)</x:f>
        <x:v>46661</x:v>
      </x:c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14" t="n">
        <x:f>EDATE('Settings &amp; Assumptions'!$B$35,12)</x:f>
        <x:v>46692</x:v>
      </x:c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14" t="n">
        <x:f>EDATE('Settings &amp; Assumptions'!$B$35,13)</x:f>
        <x:v>46722</x:v>
      </x:c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14" t="n">
        <x:f>EDATE('Settings &amp; Assumptions'!$B$35,14)</x:f>
        <x:v>46753</x:v>
      </x:c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14" t="n">
        <x:f>EDATE('Settings &amp; Assumptions'!$B$35,15)</x:f>
        <x:v>46784</x:v>
      </x:c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14" t="n">
        <x:f>EDATE('Settings &amp; Assumptions'!$B$35,16)</x:f>
        <x:v>46813</x:v>
      </x:c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14" t="n">
        <x:f>EDATE('Settings &amp; Assumptions'!$B$35,17)</x:f>
        <x:v>46844</x:v>
      </x:c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14" t="n">
        <x:f>EDATE('Settings &amp; Assumptions'!$B$35,18)</x:f>
        <x:v>46874</x:v>
      </x:c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14" t="n">
        <x:f>EDATE('Settings &amp; Assumptions'!$B$35,19)</x:f>
        <x:v>46905</x:v>
      </x:c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14" t="n">
        <x:f>EDATE('Settings &amp; Assumptions'!$B$35,20)</x:f>
        <x:v>46935</x:v>
      </x:c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14" t="n">
        <x:f>EDATE('Settings &amp; Assumptions'!$B$35,21)</x:f>
        <x:v>46966</x:v>
      </x:c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14" t="n">
        <x:f>EDATE('Settings &amp; Assumptions'!$B$35,22)</x:f>
        <x:v>46997</x:v>
      </x:c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14" t="n">
        <x:f>EDATE('Settings &amp; Assumptions'!$B$35,23)</x:f>
        <x:v>47027</x:v>
      </x:c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14" t="n">
        <x:f>EDATE('Settings &amp; Assumptions'!$B$35,24)</x:f>
        <x:v>47058</x:v>
      </x:c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14" t="n">
        <x:f>EDATE('Settings &amp; Assumptions'!$B$35,25)</x:f>
        <x:v>47088</x:v>
      </x:c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14" t="n">
        <x:f>EDATE('Settings &amp; Assumptions'!$B$35,26)</x:f>
        <x:v>47119</x:v>
      </x:c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14" t="n">
        <x:f>EDATE('Settings &amp; Assumptions'!$B$35,27)</x:f>
        <x:v>47150</x:v>
      </x:c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14" t="n">
        <x:f>EDATE('Settings &amp; Assumptions'!$B$35,28)</x:f>
        <x:v>47178</x:v>
      </x:c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14" t="n">
        <x:f>EDATE('Settings &amp; Assumptions'!$B$35,29)</x:f>
        <x:v>47209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14" t="n">
        <x:f>EDATE('Settings &amp; Assumptions'!$B$35,30)</x:f>
        <x:v>47239</x:v>
      </x:c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14" t="n">
        <x:f>EDATE('Settings &amp; Assumptions'!$B$35,31)</x:f>
        <x:v>47270</x:v>
      </x:c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14" t="n">
        <x:f>EDATE('Settings &amp; Assumptions'!$B$35,32)</x:f>
        <x:v>47300</x:v>
      </x:c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14" t="n">
        <x:f>EDATE('Settings &amp; Assumptions'!$B$35,33)</x:f>
        <x:v>47331</x:v>
      </x:c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14" t="n">
        <x:f>EDATE('Settings &amp; Assumptions'!$B$35,34)</x:f>
        <x:v>47362</x:v>
      </x:c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14" t="n">
        <x:f>EDATE('Settings &amp; Assumptions'!$B$35,35)</x:f>
        <x:v>47392</x:v>
      </x:c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32" customHeight="1">
      <x:c r="A44" s="5" t="str">
        <x:v>Omzet in de prognose veronderstelt ontvangst in dezelfde maand. Verschuif vertraagde ontvangsten met positieve/negatieve extra cashflow. Btw wordt afzonderlijk ingevoerd.</x:v>
      </x:c>
      <x:c r="B44" s="5" t="str">
        <x:v>Omzet in de prognose veronderstelt ontvangst in dezelfde maand. Verschuif vertraagde ontvangsten met positieve/negatieve extra cashflow. Btw wordt afzonderlijk ingevoerd.</x:v>
      </x:c>
      <x:c r="C44" s="5" t="str">
        <x:v>Omzet in de prognose veronderstelt ontvangst in dezelfde maand. Verschuif vertraagde ontvangsten met positieve/negatieve extra cashflow. Btw wordt afzonderlijk ingevoerd.</x:v>
      </x:c>
      <x:c r="D44" s="5" t="str">
        <x:v>Omzet in de prognose veronderstelt ontvangst in dezelfde maand. Verschuif vertraagde ontvangsten met positieve/negatieve extra cashflow. Btw wordt afzonderlijk ingevoerd.</x:v>
      </x:c>
      <x:c r="E44" s="5" t="str">
        <x:v>Omzet in de prognose veronderstelt ontvangst in dezelfde maand. Verschuif vertraagde ontvangsten met positieve/negatieve extra cashflow. Btw wordt afzonderlijk ingevoerd.</x:v>
      </x:c>
      <x:c r="F44" s="5" t="str">
        <x:v>Omzet in de prognose veronderstelt ontvangst in dezelfde maand. Verschuif vertraagde ontvangsten met positieve/negatieve extra cashflow. Btw wordt afzonderlijk ingevoerd.</x:v>
      </x:c>
      <x:c r="G44" s="5" t="str">
        <x:v>Omzet in de prognose veronderstelt ontvangst in dezelfde maand. Verschuif vertraagde ontvangsten met positieve/negatieve extra cashflow. Btw wordt afzonderlijk ingevoerd.</x:v>
      </x:c>
      <x:c r="H44" s="5" t="str">
        <x:v>Omzet in de prognose veronderstelt ontvangst in dezelfde maand. Verschuif vertraagde ontvangsten met positieve/negatieve extra cashflow. Btw wordt afzonderlijk ingevoerd.</x:v>
      </x:c>
      <x:c r="I44" s="5" t="str">
        <x:v>Omzet in de prognose veronderstelt ontvangst in dezelfde maand. Verschuif vertraagde ontvangsten met positieve/negatieve extra cashflow. Btw wordt afzonderlijk ingevoerd.</x:v>
      </x:c>
      <x:c r="J44" s="5" t="str">
        <x:v>Omzet in de prognose veronderstelt ontvangst in dezelfde maand. Verschuif vertraagde ontvangsten met positieve/negatieve extra cashflow. Btw wordt afzonderlijk ingevoerd.</x:v>
      </x:c>
      <x:c r="K44" s="5" t="str">
        <x:v>Omzet in de prognose veronderstelt ontvangst in dezelfde maand. Verschuif vertraagde ontvangsten met positieve/negatieve extra cashflow. Btw wordt afzonderlijk ingevoerd.</x:v>
      </x:c>
      <x:c r="L44" s="5" t="str">
        <x:v>Omzet in de prognose veronderstelt ontvangst in dezelfde maand. Verschuif vertraagde ontvangsten met positieve/negatieve extra cashflow. Btw wordt afzonderlijk ingevoerd.</x:v>
      </x:c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44:L44"/>
    <x:mergeCell ref="N2:P2"/>
  </x:mergeCells>
  <x:dataValidations count="1">
    <x:dataValidation type="list" sqref="C6:C4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a6a714026743cf"/>
  </x:tableParts>
</x:worksheet>
</file>

<file path=xl/worksheets/sheet16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Cashprognose 36 maanden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Model in euro, exclusief btw op omzet/kosten. Vul netto btw-cashmutaties expliciet in; spaarpot-overboekingen zijn geen cashuitgaven.</x:v>
      </x:c>
      <x:c r="B3" s="5" t="str">
        <x:v>Model in euro, exclusief btw op omzet/kosten. Vul netto btw-cashmutaties expliciet in; spaarpot-overboekingen zijn geen cashuitgaven.</x:v>
      </x:c>
      <x:c r="C3" s="5" t="str">
        <x:v>Model in euro, exclusief btw op omzet/kosten. Vul netto btw-cashmutaties expliciet in; spaarpot-overboekingen zijn geen cashuitgaven.</x:v>
      </x:c>
      <x:c r="D3" s="5" t="str">
        <x:v>Model in euro, exclusief btw op omzet/kosten. Vul netto btw-cashmutaties expliciet in; spaarpot-overboekingen zijn geen cashuitgaven.</x:v>
      </x:c>
      <x:c r="E3" s="5" t="str">
        <x:v>Model in euro, exclusief btw op omzet/kosten. Vul netto btw-cashmutaties expliciet in; spaarpot-overboekingen zijn geen cashuitgaven.</x:v>
      </x:c>
      <x:c r="F3" s="5" t="str">
        <x:v>Model in euro, exclusief btw op omzet/kosten. Vul netto btw-cashmutaties expliciet in; spaarpot-overboekingen zijn geen cashuitgaven.</x:v>
      </x:c>
      <x:c r="G3" s="5" t="str">
        <x:v>Model in euro, exclusief btw op omzet/kosten. Vul netto btw-cashmutaties expliciet in; spaarpot-overboekingen zijn geen cashuitgaven.</x:v>
      </x:c>
      <x:c r="H3" s="5" t="str">
        <x:v>Model in euro, exclusief btw op omzet/kosten. Vul netto btw-cashmutaties expliciet in; spaarpot-overboekingen zijn geen cashuitgaven.</x:v>
      </x:c>
      <x:c r="I3" s="5" t="str">
        <x:v>Model in euro, exclusief btw op omzet/kosten. Vul netto btw-cashmutaties expliciet in; spaarpot-overboekingen zijn geen cashuitgaven.</x:v>
      </x:c>
      <x:c r="J3" s="5" t="str">
        <x:v>Model in euro, exclusief btw op omzet/kosten. Vul netto btw-cashmutaties expliciet in; spaarpot-overboekingen zijn geen cashuitgaven.</x:v>
      </x:c>
      <x:c r="K3" s="5" t="str">
        <x:v>Model in euro, exclusief btw op omzet/kosten. Vul netto btw-cashmutaties expliciet in; spaarpot-overboekingen zijn geen cashuitgaven.</x:v>
      </x:c>
      <x:c r="L3" s="5" t="str">
        <x:v>Model in euro, exclusief btw op omzet/kosten. Vul netto btw-cashmutaties expliciet in; spaarpot-overboekingen zijn geen cashuitgaven.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Maand</x:v>
      </x:c>
      <x:c r="B5" s="8" t="str">
        <x:v>Omzetfactor</x:v>
      </x:c>
      <x:c r="C5" s="8" t="str">
        <x:v>Kostenfactor</x:v>
      </x:c>
      <x:c r="D5" s="8" t="str">
        <x:v>Begincash</x:v>
      </x:c>
      <x:c r="E5" s="8" t="str">
        <x:v>Omzet / ontvangst excl.</x:v>
      </x:c>
      <x:c r="F5" s="8" t="str">
        <x:v>Zakelijke cashkosten excl.</x:v>
      </x:c>
      <x:c r="G5" s="8" t="str">
        <x:v>Privé / reizen</x:v>
      </x:c>
      <x:c r="H5" s="8" t="str">
        <x:v>Belastingbetaling</x:v>
      </x:c>
      <x:c r="I5" s="8" t="str">
        <x:v>Bus / ombouw</x:v>
      </x:c>
      <x:c r="J5" s="8" t="str">
        <x:v>Investeringen</x:v>
      </x:c>
      <x:c r="K5" s="8" t="str">
        <x:v>Extra ontvangsten</x:v>
      </x:c>
      <x:c r="L5" s="8" t="str">
        <x:v>Overige uitgaven</x:v>
      </x:c>
      <x:c r="M5" s="8" t="str">
        <x:v>Eindcash</x:v>
      </x:c>
      <x:c r="N5" s="8" t="str">
        <x:v>Buffertekort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14" t="n">
        <x:f>'Work &amp; Travel Planning'!A6</x:f>
        <x:v>46327</x:v>
      </x:c>
      <x:c r="B6" s="2" t="n">
        <x:f>'Settings &amp; Assumptions'!$G$9</x:f>
        <x:v>1</x:v>
      </x:c>
      <x:c r="C6" s="2" t="n">
        <x:f>'Settings &amp; Assumptions'!$G$10</x:f>
        <x:v>1</x:v>
      </x:c>
      <x:c r="D6" s="12" t="str">
        <x:f>'Net Worth'!E6</x:f>
        <x:v>n.b.</x:v>
      </x:c>
      <x:c r="E6" s="12" t="str">
        <x:f>IF(NOT(ISNUMBER('Work &amp; Travel Planning'!B6)),"n.b.",'Work &amp; Travel Planning'!B6*'Settings &amp; Assumptions'!$B$16*B6)</x:f>
        <x:v>n.b.</x:v>
      </x:c>
      <x:c r="F6" s="12" t="str">
        <x:f>IF(OR(NOT(ISNUMBER(E6)),COUNT('Settings &amp; Assumptions'!$B$17:'Settings &amp; Assumptions'!$B$18)&lt;2),"n.b.",(E6*'Settings &amp; Assumptions'!$B$17+'Settings &amp; Assumptions'!$B$18)*C6)</x:f>
        <x:v>n.b.</x:v>
      </x:c>
      <x:c r="G6" s="12" t="str">
        <x:f>IF(NOT(ISNUMBER('Work &amp; Travel Planning'!C6)),"n.b.",IF('Work &amp; Travel Planning'!C6=1,'Settings &amp; Assumptions'!$B$24,'Settings &amp; Assumptions'!$B$23))</x:f>
        <x:v>n.b.</x:v>
      </x:c>
      <x:c r="H6" s="12" t="str">
        <x:f>IF(COUNT('Work &amp; Travel Planning'!H6:I6)&lt;2,"n.b.",SUM('Work &amp; Travel Planning'!H6:I6))</x:f>
        <x:v>n.b.</x:v>
      </x:c>
      <x:c r="I6" s="12" t="str">
        <x:f>IF(COUNT('Work &amp; Travel Planning'!E6:F6)&lt;2,"n.b.",SUM('Work &amp; Travel Planning'!E6:F6))</x:f>
        <x:v>n.b.</x:v>
      </x:c>
      <x:c r="J6" s="12" t="str">
        <x:f>IF(NOT(ISNUMBER('Work &amp; Travel Planning'!G6)),"n.b.",'Work &amp; Travel Planning'!G6)</x:f>
        <x:v>n.b.</x:v>
      </x:c>
      <x:c r="K6" s="12" t="str">
        <x:f>IF(NOT(ISNUMBER('Work &amp; Travel Planning'!D6)),"n.b.",'Work &amp; Travel Planning'!D6)</x:f>
        <x:v>n.b.</x:v>
      </x:c>
      <x:c r="L6" s="12" t="str">
        <x:f>IF(NOT(ISNUMBER('Work &amp; Travel Planning'!J6)),"n.b.",'Work &amp; Travel Planning'!J6)</x:f>
        <x:v>n.b.</x:v>
      </x:c>
      <x:c r="M6" s="12" t="str">
        <x:f>IF(COUNT(D6:L6)&lt;9,"n.b.",D6+E6-SUM(F6:J6)+K6-L6)</x:f>
        <x:v>n.b.</x:v>
      </x:c>
      <x:c r="N6" s="12" t="str">
        <x:f>IF(ISNUMBER(M6),MAX(0,'Settings &amp; Assumptions'!$B$25-M6),"n.b.")</x:f>
        <x:v>n.b.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14" t="n">
        <x:f>'Work &amp; Travel Planning'!A7</x:f>
        <x:v>46357</x:v>
      </x:c>
      <x:c r="B7" s="2" t="n">
        <x:f>'Settings &amp; Assumptions'!$G$9</x:f>
        <x:v>1</x:v>
      </x:c>
      <x:c r="C7" s="2" t="n">
        <x:f>'Settings &amp; Assumptions'!$G$10</x:f>
        <x:v>1</x:v>
      </x:c>
      <x:c r="D7" s="12" t="str">
        <x:f>M6</x:f>
        <x:v>n.b.</x:v>
      </x:c>
      <x:c r="E7" s="12" t="str">
        <x:f>IF(NOT(ISNUMBER('Work &amp; Travel Planning'!B7)),"n.b.",'Work &amp; Travel Planning'!B7*'Settings &amp; Assumptions'!$B$16*B7)</x:f>
        <x:v>n.b.</x:v>
      </x:c>
      <x:c r="F7" s="12" t="str">
        <x:f>IF(OR(NOT(ISNUMBER(E7)),COUNT('Settings &amp; Assumptions'!$B$17:'Settings &amp; Assumptions'!$B$18)&lt;2),"n.b.",(E7*'Settings &amp; Assumptions'!$B$17+'Settings &amp; Assumptions'!$B$18)*C7)</x:f>
        <x:v>n.b.</x:v>
      </x:c>
      <x:c r="G7" s="12" t="str">
        <x:f>IF(NOT(ISNUMBER('Work &amp; Travel Planning'!C7)),"n.b.",IF('Work &amp; Travel Planning'!C7=1,'Settings &amp; Assumptions'!$B$24,'Settings &amp; Assumptions'!$B$23))</x:f>
        <x:v>n.b.</x:v>
      </x:c>
      <x:c r="H7" s="12" t="str">
        <x:f>IF(COUNT('Work &amp; Travel Planning'!H7:I7)&lt;2,"n.b.",SUM('Work &amp; Travel Planning'!H7:I7))</x:f>
        <x:v>n.b.</x:v>
      </x:c>
      <x:c r="I7" s="12" t="str">
        <x:f>IF(COUNT('Work &amp; Travel Planning'!E7:F7)&lt;2,"n.b.",SUM('Work &amp; Travel Planning'!E7:F7))</x:f>
        <x:v>n.b.</x:v>
      </x:c>
      <x:c r="J7" s="12" t="str">
        <x:f>IF(NOT(ISNUMBER('Work &amp; Travel Planning'!G7)),"n.b.",'Work &amp; Travel Planning'!G7)</x:f>
        <x:v>n.b.</x:v>
      </x:c>
      <x:c r="K7" s="12" t="str">
        <x:f>IF(NOT(ISNUMBER('Work &amp; Travel Planning'!D7)),"n.b.",'Work &amp; Travel Planning'!D7)</x:f>
        <x:v>n.b.</x:v>
      </x:c>
      <x:c r="L7" s="12" t="str">
        <x:f>IF(NOT(ISNUMBER('Work &amp; Travel Planning'!J7)),"n.b.",'Work &amp; Travel Planning'!J7)</x:f>
        <x:v>n.b.</x:v>
      </x:c>
      <x:c r="M7" s="12" t="str">
        <x:f>IF(COUNT(D7:L7)&lt;9,"n.b.",D7+E7-SUM(F7:J7)+K7-L7)</x:f>
        <x:v>n.b.</x:v>
      </x:c>
      <x:c r="N7" s="12" t="str">
        <x:f>IF(ISNUMBER(M7),MAX(0,'Settings &amp; Assumptions'!$B$25-M7),"n.b.")</x:f>
        <x:v>n.b.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14" t="n">
        <x:f>'Work &amp; Travel Planning'!A8</x:f>
        <x:v>46388</x:v>
      </x:c>
      <x:c r="B8" s="2" t="n">
        <x:f>'Settings &amp; Assumptions'!$G$9</x:f>
        <x:v>1</x:v>
      </x:c>
      <x:c r="C8" s="2" t="n">
        <x:f>'Settings &amp; Assumptions'!$G$10</x:f>
        <x:v>1</x:v>
      </x:c>
      <x:c r="D8" s="12" t="str">
        <x:f>M7</x:f>
        <x:v>n.b.</x:v>
      </x:c>
      <x:c r="E8" s="12" t="str">
        <x:f>IF(NOT(ISNUMBER('Work &amp; Travel Planning'!B8)),"n.b.",'Work &amp; Travel Planning'!B8*'Settings &amp; Assumptions'!$B$16*B8)</x:f>
        <x:v>n.b.</x:v>
      </x:c>
      <x:c r="F8" s="12" t="str">
        <x:f>IF(OR(NOT(ISNUMBER(E8)),COUNT('Settings &amp; Assumptions'!$B$17:'Settings &amp; Assumptions'!$B$18)&lt;2),"n.b.",(E8*'Settings &amp; Assumptions'!$B$17+'Settings &amp; Assumptions'!$B$18)*C8)</x:f>
        <x:v>n.b.</x:v>
      </x:c>
      <x:c r="G8" s="12" t="str">
        <x:f>IF(NOT(ISNUMBER('Work &amp; Travel Planning'!C8)),"n.b.",IF('Work &amp; Travel Planning'!C8=1,'Settings &amp; Assumptions'!$B$24,'Settings &amp; Assumptions'!$B$23))</x:f>
        <x:v>n.b.</x:v>
      </x:c>
      <x:c r="H8" s="12" t="str">
        <x:f>IF(COUNT('Work &amp; Travel Planning'!H8:I8)&lt;2,"n.b.",SUM('Work &amp; Travel Planning'!H8:I8))</x:f>
        <x:v>n.b.</x:v>
      </x:c>
      <x:c r="I8" s="12" t="str">
        <x:f>IF(COUNT('Work &amp; Travel Planning'!E8:F8)&lt;2,"n.b.",SUM('Work &amp; Travel Planning'!E8:F8))</x:f>
        <x:v>n.b.</x:v>
      </x:c>
      <x:c r="J8" s="12" t="str">
        <x:f>IF(NOT(ISNUMBER('Work &amp; Travel Planning'!G8)),"n.b.",'Work &amp; Travel Planning'!G8)</x:f>
        <x:v>n.b.</x:v>
      </x:c>
      <x:c r="K8" s="12" t="str">
        <x:f>IF(NOT(ISNUMBER('Work &amp; Travel Planning'!D8)),"n.b.",'Work &amp; Travel Planning'!D8)</x:f>
        <x:v>n.b.</x:v>
      </x:c>
      <x:c r="L8" s="12" t="str">
        <x:f>IF(NOT(ISNUMBER('Work &amp; Travel Planning'!J8)),"n.b.",'Work &amp; Travel Planning'!J8)</x:f>
        <x:v>n.b.</x:v>
      </x:c>
      <x:c r="M8" s="12" t="str">
        <x:f>IF(COUNT(D8:L8)&lt;9,"n.b.",D8+E8-SUM(F8:J8)+K8-L8)</x:f>
        <x:v>n.b.</x:v>
      </x:c>
      <x:c r="N8" s="12" t="str">
        <x:f>IF(ISNUMBER(M8),MAX(0,'Settings &amp; Assumptions'!$B$25-M8),"n.b.")</x:f>
        <x:v>n.b.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14" t="n">
        <x:f>'Work &amp; Travel Planning'!A9</x:f>
        <x:v>46419</x:v>
      </x:c>
      <x:c r="B9" s="2" t="n">
        <x:f>'Settings &amp; Assumptions'!$G$9</x:f>
        <x:v>1</x:v>
      </x:c>
      <x:c r="C9" s="2" t="n">
        <x:f>'Settings &amp; Assumptions'!$G$10</x:f>
        <x:v>1</x:v>
      </x:c>
      <x:c r="D9" s="12" t="str">
        <x:f>M8</x:f>
        <x:v>n.b.</x:v>
      </x:c>
      <x:c r="E9" s="12" t="str">
        <x:f>IF(NOT(ISNUMBER('Work &amp; Travel Planning'!B9)),"n.b.",'Work &amp; Travel Planning'!B9*'Settings &amp; Assumptions'!$B$16*B9)</x:f>
        <x:v>n.b.</x:v>
      </x:c>
      <x:c r="F9" s="12" t="str">
        <x:f>IF(OR(NOT(ISNUMBER(E9)),COUNT('Settings &amp; Assumptions'!$B$17:'Settings &amp; Assumptions'!$B$18)&lt;2),"n.b.",(E9*'Settings &amp; Assumptions'!$B$17+'Settings &amp; Assumptions'!$B$18)*C9)</x:f>
        <x:v>n.b.</x:v>
      </x:c>
      <x:c r="G9" s="12" t="str">
        <x:f>IF(NOT(ISNUMBER('Work &amp; Travel Planning'!C9)),"n.b.",IF('Work &amp; Travel Planning'!C9=1,'Settings &amp; Assumptions'!$B$24,'Settings &amp; Assumptions'!$B$23))</x:f>
        <x:v>n.b.</x:v>
      </x:c>
      <x:c r="H9" s="12" t="str">
        <x:f>IF(COUNT('Work &amp; Travel Planning'!H9:I9)&lt;2,"n.b.",SUM('Work &amp; Travel Planning'!H9:I9))</x:f>
        <x:v>n.b.</x:v>
      </x:c>
      <x:c r="I9" s="12" t="str">
        <x:f>IF(COUNT('Work &amp; Travel Planning'!E9:F9)&lt;2,"n.b.",SUM('Work &amp; Travel Planning'!E9:F9))</x:f>
        <x:v>n.b.</x:v>
      </x:c>
      <x:c r="J9" s="12" t="str">
        <x:f>IF(NOT(ISNUMBER('Work &amp; Travel Planning'!G9)),"n.b.",'Work &amp; Travel Planning'!G9)</x:f>
        <x:v>n.b.</x:v>
      </x:c>
      <x:c r="K9" s="12" t="str">
        <x:f>IF(NOT(ISNUMBER('Work &amp; Travel Planning'!D9)),"n.b.",'Work &amp; Travel Planning'!D9)</x:f>
        <x:v>n.b.</x:v>
      </x:c>
      <x:c r="L9" s="12" t="str">
        <x:f>IF(NOT(ISNUMBER('Work &amp; Travel Planning'!J9)),"n.b.",'Work &amp; Travel Planning'!J9)</x:f>
        <x:v>n.b.</x:v>
      </x:c>
      <x:c r="M9" s="12" t="str">
        <x:f>IF(COUNT(D9:L9)&lt;9,"n.b.",D9+E9-SUM(F9:J9)+K9-L9)</x:f>
        <x:v>n.b.</x:v>
      </x:c>
      <x:c r="N9" s="12" t="str">
        <x:f>IF(ISNUMBER(M9),MAX(0,'Settings &amp; Assumptions'!$B$25-M9),"n.b.")</x:f>
        <x:v>n.b.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14" t="n">
        <x:f>'Work &amp; Travel Planning'!A10</x:f>
        <x:v>46447</x:v>
      </x:c>
      <x:c r="B10" s="2" t="n">
        <x:f>'Settings &amp; Assumptions'!$G$9</x:f>
        <x:v>1</x:v>
      </x:c>
      <x:c r="C10" s="2" t="n">
        <x:f>'Settings &amp; Assumptions'!$G$10</x:f>
        <x:v>1</x:v>
      </x:c>
      <x:c r="D10" s="12" t="str">
        <x:f>M9</x:f>
        <x:v>n.b.</x:v>
      </x:c>
      <x:c r="E10" s="12" t="str">
        <x:f>IF(NOT(ISNUMBER('Work &amp; Travel Planning'!B10)),"n.b.",'Work &amp; Travel Planning'!B10*'Settings &amp; Assumptions'!$B$16*B10)</x:f>
        <x:v>n.b.</x:v>
      </x:c>
      <x:c r="F10" s="12" t="str">
        <x:f>IF(OR(NOT(ISNUMBER(E10)),COUNT('Settings &amp; Assumptions'!$B$17:'Settings &amp; Assumptions'!$B$18)&lt;2),"n.b.",(E10*'Settings &amp; Assumptions'!$B$17+'Settings &amp; Assumptions'!$B$18)*C10)</x:f>
        <x:v>n.b.</x:v>
      </x:c>
      <x:c r="G10" s="12" t="str">
        <x:f>IF(NOT(ISNUMBER('Work &amp; Travel Planning'!C10)),"n.b.",IF('Work &amp; Travel Planning'!C10=1,'Settings &amp; Assumptions'!$B$24,'Settings &amp; Assumptions'!$B$23))</x:f>
        <x:v>n.b.</x:v>
      </x:c>
      <x:c r="H10" s="12" t="str">
        <x:f>IF(COUNT('Work &amp; Travel Planning'!H10:I10)&lt;2,"n.b.",SUM('Work &amp; Travel Planning'!H10:I10))</x:f>
        <x:v>n.b.</x:v>
      </x:c>
      <x:c r="I10" s="12" t="str">
        <x:f>IF(COUNT('Work &amp; Travel Planning'!E10:F10)&lt;2,"n.b.",SUM('Work &amp; Travel Planning'!E10:F10))</x:f>
        <x:v>n.b.</x:v>
      </x:c>
      <x:c r="J10" s="12" t="str">
        <x:f>IF(NOT(ISNUMBER('Work &amp; Travel Planning'!G10)),"n.b.",'Work &amp; Travel Planning'!G10)</x:f>
        <x:v>n.b.</x:v>
      </x:c>
      <x:c r="K10" s="12" t="str">
        <x:f>IF(NOT(ISNUMBER('Work &amp; Travel Planning'!D10)),"n.b.",'Work &amp; Travel Planning'!D10)</x:f>
        <x:v>n.b.</x:v>
      </x:c>
      <x:c r="L10" s="12" t="str">
        <x:f>IF(NOT(ISNUMBER('Work &amp; Travel Planning'!J10)),"n.b.",'Work &amp; Travel Planning'!J10)</x:f>
        <x:v>n.b.</x:v>
      </x:c>
      <x:c r="M10" s="12" t="str">
        <x:f>IF(COUNT(D10:L10)&lt;9,"n.b.",D10+E10-SUM(F10:J10)+K10-L10)</x:f>
        <x:v>n.b.</x:v>
      </x:c>
      <x:c r="N10" s="12" t="str">
        <x:f>IF(ISNUMBER(M10),MAX(0,'Settings &amp; Assumptions'!$B$25-M10),"n.b.")</x:f>
        <x:v>n.b.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14" t="n">
        <x:f>'Work &amp; Travel Planning'!A11</x:f>
        <x:v>46478</x:v>
      </x:c>
      <x:c r="B11" s="2" t="n">
        <x:f>'Settings &amp; Assumptions'!$G$9</x:f>
        <x:v>1</x:v>
      </x:c>
      <x:c r="C11" s="2" t="n">
        <x:f>'Settings &amp; Assumptions'!$G$10</x:f>
        <x:v>1</x:v>
      </x:c>
      <x:c r="D11" s="12" t="str">
        <x:f>M10</x:f>
        <x:v>n.b.</x:v>
      </x:c>
      <x:c r="E11" s="12" t="str">
        <x:f>IF(NOT(ISNUMBER('Work &amp; Travel Planning'!B11)),"n.b.",'Work &amp; Travel Planning'!B11*'Settings &amp; Assumptions'!$B$16*B11)</x:f>
        <x:v>n.b.</x:v>
      </x:c>
      <x:c r="F11" s="12" t="str">
        <x:f>IF(OR(NOT(ISNUMBER(E11)),COUNT('Settings &amp; Assumptions'!$B$17:'Settings &amp; Assumptions'!$B$18)&lt;2),"n.b.",(E11*'Settings &amp; Assumptions'!$B$17+'Settings &amp; Assumptions'!$B$18)*C11)</x:f>
        <x:v>n.b.</x:v>
      </x:c>
      <x:c r="G11" s="12" t="str">
        <x:f>IF(NOT(ISNUMBER('Work &amp; Travel Planning'!C11)),"n.b.",IF('Work &amp; Travel Planning'!C11=1,'Settings &amp; Assumptions'!$B$24,'Settings &amp; Assumptions'!$B$23))</x:f>
        <x:v>n.b.</x:v>
      </x:c>
      <x:c r="H11" s="12" t="str">
        <x:f>IF(COUNT('Work &amp; Travel Planning'!H11:I11)&lt;2,"n.b.",SUM('Work &amp; Travel Planning'!H11:I11))</x:f>
        <x:v>n.b.</x:v>
      </x:c>
      <x:c r="I11" s="12" t="str">
        <x:f>IF(COUNT('Work &amp; Travel Planning'!E11:F11)&lt;2,"n.b.",SUM('Work &amp; Travel Planning'!E11:F11))</x:f>
        <x:v>n.b.</x:v>
      </x:c>
      <x:c r="J11" s="12" t="str">
        <x:f>IF(NOT(ISNUMBER('Work &amp; Travel Planning'!G11)),"n.b.",'Work &amp; Travel Planning'!G11)</x:f>
        <x:v>n.b.</x:v>
      </x:c>
      <x:c r="K11" s="12" t="str">
        <x:f>IF(NOT(ISNUMBER('Work &amp; Travel Planning'!D11)),"n.b.",'Work &amp; Travel Planning'!D11)</x:f>
        <x:v>n.b.</x:v>
      </x:c>
      <x:c r="L11" s="12" t="str">
        <x:f>IF(NOT(ISNUMBER('Work &amp; Travel Planning'!J11)),"n.b.",'Work &amp; Travel Planning'!J11)</x:f>
        <x:v>n.b.</x:v>
      </x:c>
      <x:c r="M11" s="12" t="str">
        <x:f>IF(COUNT(D11:L11)&lt;9,"n.b.",D11+E11-SUM(F11:J11)+K11-L11)</x:f>
        <x:v>n.b.</x:v>
      </x:c>
      <x:c r="N11" s="12" t="str">
        <x:f>IF(ISNUMBER(M11),MAX(0,'Settings &amp; Assumptions'!$B$25-M11),"n.b.")</x:f>
        <x:v>n.b.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14" t="n">
        <x:f>'Work &amp; Travel Planning'!A12</x:f>
        <x:v>46508</x:v>
      </x:c>
      <x:c r="B12" s="2" t="n">
        <x:f>'Settings &amp; Assumptions'!$G$9</x:f>
        <x:v>1</x:v>
      </x:c>
      <x:c r="C12" s="2" t="n">
        <x:f>'Settings &amp; Assumptions'!$G$10</x:f>
        <x:v>1</x:v>
      </x:c>
      <x:c r="D12" s="12" t="str">
        <x:f>M11</x:f>
        <x:v>n.b.</x:v>
      </x:c>
      <x:c r="E12" s="12" t="str">
        <x:f>IF(NOT(ISNUMBER('Work &amp; Travel Planning'!B12)),"n.b.",'Work &amp; Travel Planning'!B12*'Settings &amp; Assumptions'!$B$16*B12)</x:f>
        <x:v>n.b.</x:v>
      </x:c>
      <x:c r="F12" s="12" t="str">
        <x:f>IF(OR(NOT(ISNUMBER(E12)),COUNT('Settings &amp; Assumptions'!$B$17:'Settings &amp; Assumptions'!$B$18)&lt;2),"n.b.",(E12*'Settings &amp; Assumptions'!$B$17+'Settings &amp; Assumptions'!$B$18)*C12)</x:f>
        <x:v>n.b.</x:v>
      </x:c>
      <x:c r="G12" s="12" t="str">
        <x:f>IF(NOT(ISNUMBER('Work &amp; Travel Planning'!C12)),"n.b.",IF('Work &amp; Travel Planning'!C12=1,'Settings &amp; Assumptions'!$B$24,'Settings &amp; Assumptions'!$B$23))</x:f>
        <x:v>n.b.</x:v>
      </x:c>
      <x:c r="H12" s="12" t="str">
        <x:f>IF(COUNT('Work &amp; Travel Planning'!H12:I12)&lt;2,"n.b.",SUM('Work &amp; Travel Planning'!H12:I12))</x:f>
        <x:v>n.b.</x:v>
      </x:c>
      <x:c r="I12" s="12" t="str">
        <x:f>IF(COUNT('Work &amp; Travel Planning'!E12:F12)&lt;2,"n.b.",SUM('Work &amp; Travel Planning'!E12:F12))</x:f>
        <x:v>n.b.</x:v>
      </x:c>
      <x:c r="J12" s="12" t="str">
        <x:f>IF(NOT(ISNUMBER('Work &amp; Travel Planning'!G12)),"n.b.",'Work &amp; Travel Planning'!G12)</x:f>
        <x:v>n.b.</x:v>
      </x:c>
      <x:c r="K12" s="12" t="str">
        <x:f>IF(NOT(ISNUMBER('Work &amp; Travel Planning'!D12)),"n.b.",'Work &amp; Travel Planning'!D12)</x:f>
        <x:v>n.b.</x:v>
      </x:c>
      <x:c r="L12" s="12" t="str">
        <x:f>IF(NOT(ISNUMBER('Work &amp; Travel Planning'!J12)),"n.b.",'Work &amp; Travel Planning'!J12)</x:f>
        <x:v>n.b.</x:v>
      </x:c>
      <x:c r="M12" s="12" t="str">
        <x:f>IF(COUNT(D12:L12)&lt;9,"n.b.",D12+E12-SUM(F12:J12)+K12-L12)</x:f>
        <x:v>n.b.</x:v>
      </x:c>
      <x:c r="N12" s="12" t="str">
        <x:f>IF(ISNUMBER(M12),MAX(0,'Settings &amp; Assumptions'!$B$25-M12),"n.b.")</x:f>
        <x:v>n.b.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14" t="n">
        <x:f>'Work &amp; Travel Planning'!A13</x:f>
        <x:v>46539</x:v>
      </x:c>
      <x:c r="B13" s="2" t="n">
        <x:f>'Settings &amp; Assumptions'!$G$9</x:f>
        <x:v>1</x:v>
      </x:c>
      <x:c r="C13" s="2" t="n">
        <x:f>'Settings &amp; Assumptions'!$G$10</x:f>
        <x:v>1</x:v>
      </x:c>
      <x:c r="D13" s="12" t="str">
        <x:f>M12</x:f>
        <x:v>n.b.</x:v>
      </x:c>
      <x:c r="E13" s="12" t="str">
        <x:f>IF(NOT(ISNUMBER('Work &amp; Travel Planning'!B13)),"n.b.",'Work &amp; Travel Planning'!B13*'Settings &amp; Assumptions'!$B$16*B13)</x:f>
        <x:v>n.b.</x:v>
      </x:c>
      <x:c r="F13" s="12" t="str">
        <x:f>IF(OR(NOT(ISNUMBER(E13)),COUNT('Settings &amp; Assumptions'!$B$17:'Settings &amp; Assumptions'!$B$18)&lt;2),"n.b.",(E13*'Settings &amp; Assumptions'!$B$17+'Settings &amp; Assumptions'!$B$18)*C13)</x:f>
        <x:v>n.b.</x:v>
      </x:c>
      <x:c r="G13" s="12" t="str">
        <x:f>IF(NOT(ISNUMBER('Work &amp; Travel Planning'!C13)),"n.b.",IF('Work &amp; Travel Planning'!C13=1,'Settings &amp; Assumptions'!$B$24,'Settings &amp; Assumptions'!$B$23))</x:f>
        <x:v>n.b.</x:v>
      </x:c>
      <x:c r="H13" s="12" t="str">
        <x:f>IF(COUNT('Work &amp; Travel Planning'!H13:I13)&lt;2,"n.b.",SUM('Work &amp; Travel Planning'!H13:I13))</x:f>
        <x:v>n.b.</x:v>
      </x:c>
      <x:c r="I13" s="12" t="str">
        <x:f>IF(COUNT('Work &amp; Travel Planning'!E13:F13)&lt;2,"n.b.",SUM('Work &amp; Travel Planning'!E13:F13))</x:f>
        <x:v>n.b.</x:v>
      </x:c>
      <x:c r="J13" s="12" t="str">
        <x:f>IF(NOT(ISNUMBER('Work &amp; Travel Planning'!G13)),"n.b.",'Work &amp; Travel Planning'!G13)</x:f>
        <x:v>n.b.</x:v>
      </x:c>
      <x:c r="K13" s="12" t="str">
        <x:f>IF(NOT(ISNUMBER('Work &amp; Travel Planning'!D13)),"n.b.",'Work &amp; Travel Planning'!D13)</x:f>
        <x:v>n.b.</x:v>
      </x:c>
      <x:c r="L13" s="12" t="str">
        <x:f>IF(NOT(ISNUMBER('Work &amp; Travel Planning'!J13)),"n.b.",'Work &amp; Travel Planning'!J13)</x:f>
        <x:v>n.b.</x:v>
      </x:c>
      <x:c r="M13" s="12" t="str">
        <x:f>IF(COUNT(D13:L13)&lt;9,"n.b.",D13+E13-SUM(F13:J13)+K13-L13)</x:f>
        <x:v>n.b.</x:v>
      </x:c>
      <x:c r="N13" s="12" t="str">
        <x:f>IF(ISNUMBER(M13),MAX(0,'Settings &amp; Assumptions'!$B$25-M13),"n.b.")</x:f>
        <x:v>n.b.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14" t="n">
        <x:f>'Work &amp; Travel Planning'!A14</x:f>
        <x:v>46569</x:v>
      </x:c>
      <x:c r="B14" s="2" t="n">
        <x:f>'Settings &amp; Assumptions'!$G$9</x:f>
        <x:v>1</x:v>
      </x:c>
      <x:c r="C14" s="2" t="n">
        <x:f>'Settings &amp; Assumptions'!$G$10</x:f>
        <x:v>1</x:v>
      </x:c>
      <x:c r="D14" s="12" t="str">
        <x:f>M13</x:f>
        <x:v>n.b.</x:v>
      </x:c>
      <x:c r="E14" s="12" t="str">
        <x:f>IF(NOT(ISNUMBER('Work &amp; Travel Planning'!B14)),"n.b.",'Work &amp; Travel Planning'!B14*'Settings &amp; Assumptions'!$B$16*B14)</x:f>
        <x:v>n.b.</x:v>
      </x:c>
      <x:c r="F14" s="12" t="str">
        <x:f>IF(OR(NOT(ISNUMBER(E14)),COUNT('Settings &amp; Assumptions'!$B$17:'Settings &amp; Assumptions'!$B$18)&lt;2),"n.b.",(E14*'Settings &amp; Assumptions'!$B$17+'Settings &amp; Assumptions'!$B$18)*C14)</x:f>
        <x:v>n.b.</x:v>
      </x:c>
      <x:c r="G14" s="12" t="str">
        <x:f>IF(NOT(ISNUMBER('Work &amp; Travel Planning'!C14)),"n.b.",IF('Work &amp; Travel Planning'!C14=1,'Settings &amp; Assumptions'!$B$24,'Settings &amp; Assumptions'!$B$23))</x:f>
        <x:v>n.b.</x:v>
      </x:c>
      <x:c r="H14" s="12" t="str">
        <x:f>IF(COUNT('Work &amp; Travel Planning'!H14:I14)&lt;2,"n.b.",SUM('Work &amp; Travel Planning'!H14:I14))</x:f>
        <x:v>n.b.</x:v>
      </x:c>
      <x:c r="I14" s="12" t="str">
        <x:f>IF(COUNT('Work &amp; Travel Planning'!E14:F14)&lt;2,"n.b.",SUM('Work &amp; Travel Planning'!E14:F14))</x:f>
        <x:v>n.b.</x:v>
      </x:c>
      <x:c r="J14" s="12" t="str">
        <x:f>IF(NOT(ISNUMBER('Work &amp; Travel Planning'!G14)),"n.b.",'Work &amp; Travel Planning'!G14)</x:f>
        <x:v>n.b.</x:v>
      </x:c>
      <x:c r="K14" s="12" t="str">
        <x:f>IF(NOT(ISNUMBER('Work &amp; Travel Planning'!D14)),"n.b.",'Work &amp; Travel Planning'!D14)</x:f>
        <x:v>n.b.</x:v>
      </x:c>
      <x:c r="L14" s="12" t="str">
        <x:f>IF(NOT(ISNUMBER('Work &amp; Travel Planning'!J14)),"n.b.",'Work &amp; Travel Planning'!J14)</x:f>
        <x:v>n.b.</x:v>
      </x:c>
      <x:c r="M14" s="12" t="str">
        <x:f>IF(COUNT(D14:L14)&lt;9,"n.b.",D14+E14-SUM(F14:J14)+K14-L14)</x:f>
        <x:v>n.b.</x:v>
      </x:c>
      <x:c r="N14" s="12" t="str">
        <x:f>IF(ISNUMBER(M14),MAX(0,'Settings &amp; Assumptions'!$B$25-M14),"n.b.")</x:f>
        <x:v>n.b.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14" t="n">
        <x:f>'Work &amp; Travel Planning'!A15</x:f>
        <x:v>46600</x:v>
      </x:c>
      <x:c r="B15" s="2" t="n">
        <x:f>'Settings &amp; Assumptions'!$G$9</x:f>
        <x:v>1</x:v>
      </x:c>
      <x:c r="C15" s="2" t="n">
        <x:f>'Settings &amp; Assumptions'!$G$10</x:f>
        <x:v>1</x:v>
      </x:c>
      <x:c r="D15" s="12" t="str">
        <x:f>M14</x:f>
        <x:v>n.b.</x:v>
      </x:c>
      <x:c r="E15" s="12" t="str">
        <x:f>IF(NOT(ISNUMBER('Work &amp; Travel Planning'!B15)),"n.b.",'Work &amp; Travel Planning'!B15*'Settings &amp; Assumptions'!$B$16*B15)</x:f>
        <x:v>n.b.</x:v>
      </x:c>
      <x:c r="F15" s="12" t="str">
        <x:f>IF(OR(NOT(ISNUMBER(E15)),COUNT('Settings &amp; Assumptions'!$B$17:'Settings &amp; Assumptions'!$B$18)&lt;2),"n.b.",(E15*'Settings &amp; Assumptions'!$B$17+'Settings &amp; Assumptions'!$B$18)*C15)</x:f>
        <x:v>n.b.</x:v>
      </x:c>
      <x:c r="G15" s="12" t="str">
        <x:f>IF(NOT(ISNUMBER('Work &amp; Travel Planning'!C15)),"n.b.",IF('Work &amp; Travel Planning'!C15=1,'Settings &amp; Assumptions'!$B$24,'Settings &amp; Assumptions'!$B$23))</x:f>
        <x:v>n.b.</x:v>
      </x:c>
      <x:c r="H15" s="12" t="str">
        <x:f>IF(COUNT('Work &amp; Travel Planning'!H15:I15)&lt;2,"n.b.",SUM('Work &amp; Travel Planning'!H15:I15))</x:f>
        <x:v>n.b.</x:v>
      </x:c>
      <x:c r="I15" s="12" t="str">
        <x:f>IF(COUNT('Work &amp; Travel Planning'!E15:F15)&lt;2,"n.b.",SUM('Work &amp; Travel Planning'!E15:F15))</x:f>
        <x:v>n.b.</x:v>
      </x:c>
      <x:c r="J15" s="12" t="str">
        <x:f>IF(NOT(ISNUMBER('Work &amp; Travel Planning'!G15)),"n.b.",'Work &amp; Travel Planning'!G15)</x:f>
        <x:v>n.b.</x:v>
      </x:c>
      <x:c r="K15" s="12" t="str">
        <x:f>IF(NOT(ISNUMBER('Work &amp; Travel Planning'!D15)),"n.b.",'Work &amp; Travel Planning'!D15)</x:f>
        <x:v>n.b.</x:v>
      </x:c>
      <x:c r="L15" s="12" t="str">
        <x:f>IF(NOT(ISNUMBER('Work &amp; Travel Planning'!J15)),"n.b.",'Work &amp; Travel Planning'!J15)</x:f>
        <x:v>n.b.</x:v>
      </x:c>
      <x:c r="M15" s="12" t="str">
        <x:f>IF(COUNT(D15:L15)&lt;9,"n.b.",D15+E15-SUM(F15:J15)+K15-L15)</x:f>
        <x:v>n.b.</x:v>
      </x:c>
      <x:c r="N15" s="12" t="str">
        <x:f>IF(ISNUMBER(M15),MAX(0,'Settings &amp; Assumptions'!$B$25-M15),"n.b.")</x:f>
        <x:v>n.b.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14" t="n">
        <x:f>'Work &amp; Travel Planning'!A16</x:f>
        <x:v>46631</x:v>
      </x:c>
      <x:c r="B16" s="2" t="n">
        <x:f>'Settings &amp; Assumptions'!$G$9</x:f>
        <x:v>1</x:v>
      </x:c>
      <x:c r="C16" s="2" t="n">
        <x:f>'Settings &amp; Assumptions'!$G$10</x:f>
        <x:v>1</x:v>
      </x:c>
      <x:c r="D16" s="12" t="str">
        <x:f>M15</x:f>
        <x:v>n.b.</x:v>
      </x:c>
      <x:c r="E16" s="12" t="str">
        <x:f>IF(NOT(ISNUMBER('Work &amp; Travel Planning'!B16)),"n.b.",'Work &amp; Travel Planning'!B16*'Settings &amp; Assumptions'!$B$16*B16)</x:f>
        <x:v>n.b.</x:v>
      </x:c>
      <x:c r="F16" s="12" t="str">
        <x:f>IF(OR(NOT(ISNUMBER(E16)),COUNT('Settings &amp; Assumptions'!$B$17:'Settings &amp; Assumptions'!$B$18)&lt;2),"n.b.",(E16*'Settings &amp; Assumptions'!$B$17+'Settings &amp; Assumptions'!$B$18)*C16)</x:f>
        <x:v>n.b.</x:v>
      </x:c>
      <x:c r="G16" s="12" t="str">
        <x:f>IF(NOT(ISNUMBER('Work &amp; Travel Planning'!C16)),"n.b.",IF('Work &amp; Travel Planning'!C16=1,'Settings &amp; Assumptions'!$B$24,'Settings &amp; Assumptions'!$B$23))</x:f>
        <x:v>n.b.</x:v>
      </x:c>
      <x:c r="H16" s="12" t="str">
        <x:f>IF(COUNT('Work &amp; Travel Planning'!H16:I16)&lt;2,"n.b.",SUM('Work &amp; Travel Planning'!H16:I16))</x:f>
        <x:v>n.b.</x:v>
      </x:c>
      <x:c r="I16" s="12" t="str">
        <x:f>IF(COUNT('Work &amp; Travel Planning'!E16:F16)&lt;2,"n.b.",SUM('Work &amp; Travel Planning'!E16:F16))</x:f>
        <x:v>n.b.</x:v>
      </x:c>
      <x:c r="J16" s="12" t="str">
        <x:f>IF(NOT(ISNUMBER('Work &amp; Travel Planning'!G16)),"n.b.",'Work &amp; Travel Planning'!G16)</x:f>
        <x:v>n.b.</x:v>
      </x:c>
      <x:c r="K16" s="12" t="str">
        <x:f>IF(NOT(ISNUMBER('Work &amp; Travel Planning'!D16)),"n.b.",'Work &amp; Travel Planning'!D16)</x:f>
        <x:v>n.b.</x:v>
      </x:c>
      <x:c r="L16" s="12" t="str">
        <x:f>IF(NOT(ISNUMBER('Work &amp; Travel Planning'!J16)),"n.b.",'Work &amp; Travel Planning'!J16)</x:f>
        <x:v>n.b.</x:v>
      </x:c>
      <x:c r="M16" s="12" t="str">
        <x:f>IF(COUNT(D16:L16)&lt;9,"n.b.",D16+E16-SUM(F16:J16)+K16-L16)</x:f>
        <x:v>n.b.</x:v>
      </x:c>
      <x:c r="N16" s="12" t="str">
        <x:f>IF(ISNUMBER(M16),MAX(0,'Settings &amp; Assumptions'!$B$25-M16),"n.b.")</x:f>
        <x:v>n.b.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14" t="n">
        <x:f>'Work &amp; Travel Planning'!A17</x:f>
        <x:v>46661</x:v>
      </x:c>
      <x:c r="B17" s="2" t="n">
        <x:f>'Settings &amp; Assumptions'!$G$9</x:f>
        <x:v>1</x:v>
      </x:c>
      <x:c r="C17" s="2" t="n">
        <x:f>'Settings &amp; Assumptions'!$G$10</x:f>
        <x:v>1</x:v>
      </x:c>
      <x:c r="D17" s="12" t="str">
        <x:f>M16</x:f>
        <x:v>n.b.</x:v>
      </x:c>
      <x:c r="E17" s="12" t="str">
        <x:f>IF(NOT(ISNUMBER('Work &amp; Travel Planning'!B17)),"n.b.",'Work &amp; Travel Planning'!B17*'Settings &amp; Assumptions'!$B$16*B17)</x:f>
        <x:v>n.b.</x:v>
      </x:c>
      <x:c r="F17" s="12" t="str">
        <x:f>IF(OR(NOT(ISNUMBER(E17)),COUNT('Settings &amp; Assumptions'!$B$17:'Settings &amp; Assumptions'!$B$18)&lt;2),"n.b.",(E17*'Settings &amp; Assumptions'!$B$17+'Settings &amp; Assumptions'!$B$18)*C17)</x:f>
        <x:v>n.b.</x:v>
      </x:c>
      <x:c r="G17" s="12" t="str">
        <x:f>IF(NOT(ISNUMBER('Work &amp; Travel Planning'!C17)),"n.b.",IF('Work &amp; Travel Planning'!C17=1,'Settings &amp; Assumptions'!$B$24,'Settings &amp; Assumptions'!$B$23))</x:f>
        <x:v>n.b.</x:v>
      </x:c>
      <x:c r="H17" s="12" t="str">
        <x:f>IF(COUNT('Work &amp; Travel Planning'!H17:I17)&lt;2,"n.b.",SUM('Work &amp; Travel Planning'!H17:I17))</x:f>
        <x:v>n.b.</x:v>
      </x:c>
      <x:c r="I17" s="12" t="str">
        <x:f>IF(COUNT('Work &amp; Travel Planning'!E17:F17)&lt;2,"n.b.",SUM('Work &amp; Travel Planning'!E17:F17))</x:f>
        <x:v>n.b.</x:v>
      </x:c>
      <x:c r="J17" s="12" t="str">
        <x:f>IF(NOT(ISNUMBER('Work &amp; Travel Planning'!G17)),"n.b.",'Work &amp; Travel Planning'!G17)</x:f>
        <x:v>n.b.</x:v>
      </x:c>
      <x:c r="K17" s="12" t="str">
        <x:f>IF(NOT(ISNUMBER('Work &amp; Travel Planning'!D17)),"n.b.",'Work &amp; Travel Planning'!D17)</x:f>
        <x:v>n.b.</x:v>
      </x:c>
      <x:c r="L17" s="12" t="str">
        <x:f>IF(NOT(ISNUMBER('Work &amp; Travel Planning'!J17)),"n.b.",'Work &amp; Travel Planning'!J17)</x:f>
        <x:v>n.b.</x:v>
      </x:c>
      <x:c r="M17" s="12" t="str">
        <x:f>IF(COUNT(D17:L17)&lt;9,"n.b.",D17+E17-SUM(F17:J17)+K17-L17)</x:f>
        <x:v>n.b.</x:v>
      </x:c>
      <x:c r="N17" s="12" t="str">
        <x:f>IF(ISNUMBER(M17),MAX(0,'Settings &amp; Assumptions'!$B$25-M17),"n.b.")</x:f>
        <x:v>n.b.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14" t="n">
        <x:f>'Work &amp; Travel Planning'!A18</x:f>
        <x:v>46692</x:v>
      </x:c>
      <x:c r="B18" s="2" t="n">
        <x:f>'Settings &amp; Assumptions'!$G$9</x:f>
        <x:v>1</x:v>
      </x:c>
      <x:c r="C18" s="2" t="n">
        <x:f>'Settings &amp; Assumptions'!$G$10</x:f>
        <x:v>1</x:v>
      </x:c>
      <x:c r="D18" s="12" t="str">
        <x:f>M17</x:f>
        <x:v>n.b.</x:v>
      </x:c>
      <x:c r="E18" s="12" t="str">
        <x:f>IF(NOT(ISNUMBER('Work &amp; Travel Planning'!B18)),"n.b.",'Work &amp; Travel Planning'!B18*'Settings &amp; Assumptions'!$B$16*B18)</x:f>
        <x:v>n.b.</x:v>
      </x:c>
      <x:c r="F18" s="12" t="str">
        <x:f>IF(OR(NOT(ISNUMBER(E18)),COUNT('Settings &amp; Assumptions'!$B$17:'Settings &amp; Assumptions'!$B$18)&lt;2),"n.b.",(E18*'Settings &amp; Assumptions'!$B$17+'Settings &amp; Assumptions'!$B$18)*C18)</x:f>
        <x:v>n.b.</x:v>
      </x:c>
      <x:c r="G18" s="12" t="str">
        <x:f>IF(NOT(ISNUMBER('Work &amp; Travel Planning'!C18)),"n.b.",IF('Work &amp; Travel Planning'!C18=1,'Settings &amp; Assumptions'!$B$24,'Settings &amp; Assumptions'!$B$23))</x:f>
        <x:v>n.b.</x:v>
      </x:c>
      <x:c r="H18" s="12" t="str">
        <x:f>IF(COUNT('Work &amp; Travel Planning'!H18:I18)&lt;2,"n.b.",SUM('Work &amp; Travel Planning'!H18:I18))</x:f>
        <x:v>n.b.</x:v>
      </x:c>
      <x:c r="I18" s="12" t="str">
        <x:f>IF(COUNT('Work &amp; Travel Planning'!E18:F18)&lt;2,"n.b.",SUM('Work &amp; Travel Planning'!E18:F18))</x:f>
        <x:v>n.b.</x:v>
      </x:c>
      <x:c r="J18" s="12" t="str">
        <x:f>IF(NOT(ISNUMBER('Work &amp; Travel Planning'!G18)),"n.b.",'Work &amp; Travel Planning'!G18)</x:f>
        <x:v>n.b.</x:v>
      </x:c>
      <x:c r="K18" s="12" t="str">
        <x:f>IF(NOT(ISNUMBER('Work &amp; Travel Planning'!D18)),"n.b.",'Work &amp; Travel Planning'!D18)</x:f>
        <x:v>n.b.</x:v>
      </x:c>
      <x:c r="L18" s="12" t="str">
        <x:f>IF(NOT(ISNUMBER('Work &amp; Travel Planning'!J18)),"n.b.",'Work &amp; Travel Planning'!J18)</x:f>
        <x:v>n.b.</x:v>
      </x:c>
      <x:c r="M18" s="12" t="str">
        <x:f>IF(COUNT(D18:L18)&lt;9,"n.b.",D18+E18-SUM(F18:J18)+K18-L18)</x:f>
        <x:v>n.b.</x:v>
      </x:c>
      <x:c r="N18" s="12" t="str">
        <x:f>IF(ISNUMBER(M18),MAX(0,'Settings &amp; Assumptions'!$B$25-M18),"n.b.")</x:f>
        <x:v>n.b.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14" t="n">
        <x:f>'Work &amp; Travel Planning'!A19</x:f>
        <x:v>46722</x:v>
      </x:c>
      <x:c r="B19" s="2" t="n">
        <x:f>'Settings &amp; Assumptions'!$G$9</x:f>
        <x:v>1</x:v>
      </x:c>
      <x:c r="C19" s="2" t="n">
        <x:f>'Settings &amp; Assumptions'!$G$10</x:f>
        <x:v>1</x:v>
      </x:c>
      <x:c r="D19" s="12" t="str">
        <x:f>M18</x:f>
        <x:v>n.b.</x:v>
      </x:c>
      <x:c r="E19" s="12" t="str">
        <x:f>IF(NOT(ISNUMBER('Work &amp; Travel Planning'!B19)),"n.b.",'Work &amp; Travel Planning'!B19*'Settings &amp; Assumptions'!$B$16*B19)</x:f>
        <x:v>n.b.</x:v>
      </x:c>
      <x:c r="F19" s="12" t="str">
        <x:f>IF(OR(NOT(ISNUMBER(E19)),COUNT('Settings &amp; Assumptions'!$B$17:'Settings &amp; Assumptions'!$B$18)&lt;2),"n.b.",(E19*'Settings &amp; Assumptions'!$B$17+'Settings &amp; Assumptions'!$B$18)*C19)</x:f>
        <x:v>n.b.</x:v>
      </x:c>
      <x:c r="G19" s="12" t="str">
        <x:f>IF(NOT(ISNUMBER('Work &amp; Travel Planning'!C19)),"n.b.",IF('Work &amp; Travel Planning'!C19=1,'Settings &amp; Assumptions'!$B$24,'Settings &amp; Assumptions'!$B$23))</x:f>
        <x:v>n.b.</x:v>
      </x:c>
      <x:c r="H19" s="12" t="str">
        <x:f>IF(COUNT('Work &amp; Travel Planning'!H19:I19)&lt;2,"n.b.",SUM('Work &amp; Travel Planning'!H19:I19))</x:f>
        <x:v>n.b.</x:v>
      </x:c>
      <x:c r="I19" s="12" t="str">
        <x:f>IF(COUNT('Work &amp; Travel Planning'!E19:F19)&lt;2,"n.b.",SUM('Work &amp; Travel Planning'!E19:F19))</x:f>
        <x:v>n.b.</x:v>
      </x:c>
      <x:c r="J19" s="12" t="str">
        <x:f>IF(NOT(ISNUMBER('Work &amp; Travel Planning'!G19)),"n.b.",'Work &amp; Travel Planning'!G19)</x:f>
        <x:v>n.b.</x:v>
      </x:c>
      <x:c r="K19" s="12" t="str">
        <x:f>IF(NOT(ISNUMBER('Work &amp; Travel Planning'!D19)),"n.b.",'Work &amp; Travel Planning'!D19)</x:f>
        <x:v>n.b.</x:v>
      </x:c>
      <x:c r="L19" s="12" t="str">
        <x:f>IF(NOT(ISNUMBER('Work &amp; Travel Planning'!J19)),"n.b.",'Work &amp; Travel Planning'!J19)</x:f>
        <x:v>n.b.</x:v>
      </x:c>
      <x:c r="M19" s="12" t="str">
        <x:f>IF(COUNT(D19:L19)&lt;9,"n.b.",D19+E19-SUM(F19:J19)+K19-L19)</x:f>
        <x:v>n.b.</x:v>
      </x:c>
      <x:c r="N19" s="12" t="str">
        <x:f>IF(ISNUMBER(M19),MAX(0,'Settings &amp; Assumptions'!$B$25-M19),"n.b.")</x:f>
        <x:v>n.b.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14" t="n">
        <x:f>'Work &amp; Travel Planning'!A20</x:f>
        <x:v>46753</x:v>
      </x:c>
      <x:c r="B20" s="2" t="n">
        <x:f>'Settings &amp; Assumptions'!$G$9</x:f>
        <x:v>1</x:v>
      </x:c>
      <x:c r="C20" s="2" t="n">
        <x:f>'Settings &amp; Assumptions'!$G$10</x:f>
        <x:v>1</x:v>
      </x:c>
      <x:c r="D20" s="12" t="str">
        <x:f>M19</x:f>
        <x:v>n.b.</x:v>
      </x:c>
      <x:c r="E20" s="12" t="str">
        <x:f>IF(NOT(ISNUMBER('Work &amp; Travel Planning'!B20)),"n.b.",'Work &amp; Travel Planning'!B20*'Settings &amp; Assumptions'!$B$16*B20)</x:f>
        <x:v>n.b.</x:v>
      </x:c>
      <x:c r="F20" s="12" t="str">
        <x:f>IF(OR(NOT(ISNUMBER(E20)),COUNT('Settings &amp; Assumptions'!$B$17:'Settings &amp; Assumptions'!$B$18)&lt;2),"n.b.",(E20*'Settings &amp; Assumptions'!$B$17+'Settings &amp; Assumptions'!$B$18)*C20)</x:f>
        <x:v>n.b.</x:v>
      </x:c>
      <x:c r="G20" s="12" t="str">
        <x:f>IF(NOT(ISNUMBER('Work &amp; Travel Planning'!C20)),"n.b.",IF('Work &amp; Travel Planning'!C20=1,'Settings &amp; Assumptions'!$B$24,'Settings &amp; Assumptions'!$B$23))</x:f>
        <x:v>n.b.</x:v>
      </x:c>
      <x:c r="H20" s="12" t="str">
        <x:f>IF(COUNT('Work &amp; Travel Planning'!H20:I20)&lt;2,"n.b.",SUM('Work &amp; Travel Planning'!H20:I20))</x:f>
        <x:v>n.b.</x:v>
      </x:c>
      <x:c r="I20" s="12" t="str">
        <x:f>IF(COUNT('Work &amp; Travel Planning'!E20:F20)&lt;2,"n.b.",SUM('Work &amp; Travel Planning'!E20:F20))</x:f>
        <x:v>n.b.</x:v>
      </x:c>
      <x:c r="J20" s="12" t="str">
        <x:f>IF(NOT(ISNUMBER('Work &amp; Travel Planning'!G20)),"n.b.",'Work &amp; Travel Planning'!G20)</x:f>
        <x:v>n.b.</x:v>
      </x:c>
      <x:c r="K20" s="12" t="str">
        <x:f>IF(NOT(ISNUMBER('Work &amp; Travel Planning'!D20)),"n.b.",'Work &amp; Travel Planning'!D20)</x:f>
        <x:v>n.b.</x:v>
      </x:c>
      <x:c r="L20" s="12" t="str">
        <x:f>IF(NOT(ISNUMBER('Work &amp; Travel Planning'!J20)),"n.b.",'Work &amp; Travel Planning'!J20)</x:f>
        <x:v>n.b.</x:v>
      </x:c>
      <x:c r="M20" s="12" t="str">
        <x:f>IF(COUNT(D20:L20)&lt;9,"n.b.",D20+E20-SUM(F20:J20)+K20-L20)</x:f>
        <x:v>n.b.</x:v>
      </x:c>
      <x:c r="N20" s="12" t="str">
        <x:f>IF(ISNUMBER(M20),MAX(0,'Settings &amp; Assumptions'!$B$25-M20),"n.b.")</x:f>
        <x:v>n.b.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14" t="n">
        <x:f>'Work &amp; Travel Planning'!A21</x:f>
        <x:v>46784</x:v>
      </x:c>
      <x:c r="B21" s="2" t="n">
        <x:f>'Settings &amp; Assumptions'!$G$9</x:f>
        <x:v>1</x:v>
      </x:c>
      <x:c r="C21" s="2" t="n">
        <x:f>'Settings &amp; Assumptions'!$G$10</x:f>
        <x:v>1</x:v>
      </x:c>
      <x:c r="D21" s="12" t="str">
        <x:f>M20</x:f>
        <x:v>n.b.</x:v>
      </x:c>
      <x:c r="E21" s="12" t="str">
        <x:f>IF(NOT(ISNUMBER('Work &amp; Travel Planning'!B21)),"n.b.",'Work &amp; Travel Planning'!B21*'Settings &amp; Assumptions'!$B$16*B21)</x:f>
        <x:v>n.b.</x:v>
      </x:c>
      <x:c r="F21" s="12" t="str">
        <x:f>IF(OR(NOT(ISNUMBER(E21)),COUNT('Settings &amp; Assumptions'!$B$17:'Settings &amp; Assumptions'!$B$18)&lt;2),"n.b.",(E21*'Settings &amp; Assumptions'!$B$17+'Settings &amp; Assumptions'!$B$18)*C21)</x:f>
        <x:v>n.b.</x:v>
      </x:c>
      <x:c r="G21" s="12" t="str">
        <x:f>IF(NOT(ISNUMBER('Work &amp; Travel Planning'!C21)),"n.b.",IF('Work &amp; Travel Planning'!C21=1,'Settings &amp; Assumptions'!$B$24,'Settings &amp; Assumptions'!$B$23))</x:f>
        <x:v>n.b.</x:v>
      </x:c>
      <x:c r="H21" s="12" t="str">
        <x:f>IF(COUNT('Work &amp; Travel Planning'!H21:I21)&lt;2,"n.b.",SUM('Work &amp; Travel Planning'!H21:I21))</x:f>
        <x:v>n.b.</x:v>
      </x:c>
      <x:c r="I21" s="12" t="str">
        <x:f>IF(COUNT('Work &amp; Travel Planning'!E21:F21)&lt;2,"n.b.",SUM('Work &amp; Travel Planning'!E21:F21))</x:f>
        <x:v>n.b.</x:v>
      </x:c>
      <x:c r="J21" s="12" t="str">
        <x:f>IF(NOT(ISNUMBER('Work &amp; Travel Planning'!G21)),"n.b.",'Work &amp; Travel Planning'!G21)</x:f>
        <x:v>n.b.</x:v>
      </x:c>
      <x:c r="K21" s="12" t="str">
        <x:f>IF(NOT(ISNUMBER('Work &amp; Travel Planning'!D21)),"n.b.",'Work &amp; Travel Planning'!D21)</x:f>
        <x:v>n.b.</x:v>
      </x:c>
      <x:c r="L21" s="12" t="str">
        <x:f>IF(NOT(ISNUMBER('Work &amp; Travel Planning'!J21)),"n.b.",'Work &amp; Travel Planning'!J21)</x:f>
        <x:v>n.b.</x:v>
      </x:c>
      <x:c r="M21" s="12" t="str">
        <x:f>IF(COUNT(D21:L21)&lt;9,"n.b.",D21+E21-SUM(F21:J21)+K21-L21)</x:f>
        <x:v>n.b.</x:v>
      </x:c>
      <x:c r="N21" s="12" t="str">
        <x:f>IF(ISNUMBER(M21),MAX(0,'Settings &amp; Assumptions'!$B$25-M21),"n.b.")</x:f>
        <x:v>n.b.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14" t="n">
        <x:f>'Work &amp; Travel Planning'!A22</x:f>
        <x:v>46813</x:v>
      </x:c>
      <x:c r="B22" s="2" t="n">
        <x:f>'Settings &amp; Assumptions'!$G$9</x:f>
        <x:v>1</x:v>
      </x:c>
      <x:c r="C22" s="2" t="n">
        <x:f>'Settings &amp; Assumptions'!$G$10</x:f>
        <x:v>1</x:v>
      </x:c>
      <x:c r="D22" s="12" t="str">
        <x:f>M21</x:f>
        <x:v>n.b.</x:v>
      </x:c>
      <x:c r="E22" s="12" t="str">
        <x:f>IF(NOT(ISNUMBER('Work &amp; Travel Planning'!B22)),"n.b.",'Work &amp; Travel Planning'!B22*'Settings &amp; Assumptions'!$B$16*B22)</x:f>
        <x:v>n.b.</x:v>
      </x:c>
      <x:c r="F22" s="12" t="str">
        <x:f>IF(OR(NOT(ISNUMBER(E22)),COUNT('Settings &amp; Assumptions'!$B$17:'Settings &amp; Assumptions'!$B$18)&lt;2),"n.b.",(E22*'Settings &amp; Assumptions'!$B$17+'Settings &amp; Assumptions'!$B$18)*C22)</x:f>
        <x:v>n.b.</x:v>
      </x:c>
      <x:c r="G22" s="12" t="str">
        <x:f>IF(NOT(ISNUMBER('Work &amp; Travel Planning'!C22)),"n.b.",IF('Work &amp; Travel Planning'!C22=1,'Settings &amp; Assumptions'!$B$24,'Settings &amp; Assumptions'!$B$23))</x:f>
        <x:v>n.b.</x:v>
      </x:c>
      <x:c r="H22" s="12" t="str">
        <x:f>IF(COUNT('Work &amp; Travel Planning'!H22:I22)&lt;2,"n.b.",SUM('Work &amp; Travel Planning'!H22:I22))</x:f>
        <x:v>n.b.</x:v>
      </x:c>
      <x:c r="I22" s="12" t="str">
        <x:f>IF(COUNT('Work &amp; Travel Planning'!E22:F22)&lt;2,"n.b.",SUM('Work &amp; Travel Planning'!E22:F22))</x:f>
        <x:v>n.b.</x:v>
      </x:c>
      <x:c r="J22" s="12" t="str">
        <x:f>IF(NOT(ISNUMBER('Work &amp; Travel Planning'!G22)),"n.b.",'Work &amp; Travel Planning'!G22)</x:f>
        <x:v>n.b.</x:v>
      </x:c>
      <x:c r="K22" s="12" t="str">
        <x:f>IF(NOT(ISNUMBER('Work &amp; Travel Planning'!D22)),"n.b.",'Work &amp; Travel Planning'!D22)</x:f>
        <x:v>n.b.</x:v>
      </x:c>
      <x:c r="L22" s="12" t="str">
        <x:f>IF(NOT(ISNUMBER('Work &amp; Travel Planning'!J22)),"n.b.",'Work &amp; Travel Planning'!J22)</x:f>
        <x:v>n.b.</x:v>
      </x:c>
      <x:c r="M22" s="12" t="str">
        <x:f>IF(COUNT(D22:L22)&lt;9,"n.b.",D22+E22-SUM(F22:J22)+K22-L22)</x:f>
        <x:v>n.b.</x:v>
      </x:c>
      <x:c r="N22" s="12" t="str">
        <x:f>IF(ISNUMBER(M22),MAX(0,'Settings &amp; Assumptions'!$B$25-M22),"n.b.")</x:f>
        <x:v>n.b.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14" t="n">
        <x:f>'Work &amp; Travel Planning'!A23</x:f>
        <x:v>46844</x:v>
      </x:c>
      <x:c r="B23" s="2" t="n">
        <x:f>'Settings &amp; Assumptions'!$G$9</x:f>
        <x:v>1</x:v>
      </x:c>
      <x:c r="C23" s="2" t="n">
        <x:f>'Settings &amp; Assumptions'!$G$10</x:f>
        <x:v>1</x:v>
      </x:c>
      <x:c r="D23" s="12" t="str">
        <x:f>M22</x:f>
        <x:v>n.b.</x:v>
      </x:c>
      <x:c r="E23" s="12" t="str">
        <x:f>IF(NOT(ISNUMBER('Work &amp; Travel Planning'!B23)),"n.b.",'Work &amp; Travel Planning'!B23*'Settings &amp; Assumptions'!$B$16*B23)</x:f>
        <x:v>n.b.</x:v>
      </x:c>
      <x:c r="F23" s="12" t="str">
        <x:f>IF(OR(NOT(ISNUMBER(E23)),COUNT('Settings &amp; Assumptions'!$B$17:'Settings &amp; Assumptions'!$B$18)&lt;2),"n.b.",(E23*'Settings &amp; Assumptions'!$B$17+'Settings &amp; Assumptions'!$B$18)*C23)</x:f>
        <x:v>n.b.</x:v>
      </x:c>
      <x:c r="G23" s="12" t="str">
        <x:f>IF(NOT(ISNUMBER('Work &amp; Travel Planning'!C23)),"n.b.",IF('Work &amp; Travel Planning'!C23=1,'Settings &amp; Assumptions'!$B$24,'Settings &amp; Assumptions'!$B$23))</x:f>
        <x:v>n.b.</x:v>
      </x:c>
      <x:c r="H23" s="12" t="str">
        <x:f>IF(COUNT('Work &amp; Travel Planning'!H23:I23)&lt;2,"n.b.",SUM('Work &amp; Travel Planning'!H23:I23))</x:f>
        <x:v>n.b.</x:v>
      </x:c>
      <x:c r="I23" s="12" t="str">
        <x:f>IF(COUNT('Work &amp; Travel Planning'!E23:F23)&lt;2,"n.b.",SUM('Work &amp; Travel Planning'!E23:F23))</x:f>
        <x:v>n.b.</x:v>
      </x:c>
      <x:c r="J23" s="12" t="str">
        <x:f>IF(NOT(ISNUMBER('Work &amp; Travel Planning'!G23)),"n.b.",'Work &amp; Travel Planning'!G23)</x:f>
        <x:v>n.b.</x:v>
      </x:c>
      <x:c r="K23" s="12" t="str">
        <x:f>IF(NOT(ISNUMBER('Work &amp; Travel Planning'!D23)),"n.b.",'Work &amp; Travel Planning'!D23)</x:f>
        <x:v>n.b.</x:v>
      </x:c>
      <x:c r="L23" s="12" t="str">
        <x:f>IF(NOT(ISNUMBER('Work &amp; Travel Planning'!J23)),"n.b.",'Work &amp; Travel Planning'!J23)</x:f>
        <x:v>n.b.</x:v>
      </x:c>
      <x:c r="M23" s="12" t="str">
        <x:f>IF(COUNT(D23:L23)&lt;9,"n.b.",D23+E23-SUM(F23:J23)+K23-L23)</x:f>
        <x:v>n.b.</x:v>
      </x:c>
      <x:c r="N23" s="12" t="str">
        <x:f>IF(ISNUMBER(M23),MAX(0,'Settings &amp; Assumptions'!$B$25-M23),"n.b.")</x:f>
        <x:v>n.b.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14" t="n">
        <x:f>'Work &amp; Travel Planning'!A24</x:f>
        <x:v>46874</x:v>
      </x:c>
      <x:c r="B24" s="2" t="n">
        <x:f>'Settings &amp; Assumptions'!$G$9</x:f>
        <x:v>1</x:v>
      </x:c>
      <x:c r="C24" s="2" t="n">
        <x:f>'Settings &amp; Assumptions'!$G$10</x:f>
        <x:v>1</x:v>
      </x:c>
      <x:c r="D24" s="12" t="str">
        <x:f>M23</x:f>
        <x:v>n.b.</x:v>
      </x:c>
      <x:c r="E24" s="12" t="str">
        <x:f>IF(NOT(ISNUMBER('Work &amp; Travel Planning'!B24)),"n.b.",'Work &amp; Travel Planning'!B24*'Settings &amp; Assumptions'!$B$16*B24)</x:f>
        <x:v>n.b.</x:v>
      </x:c>
      <x:c r="F24" s="12" t="str">
        <x:f>IF(OR(NOT(ISNUMBER(E24)),COUNT('Settings &amp; Assumptions'!$B$17:'Settings &amp; Assumptions'!$B$18)&lt;2),"n.b.",(E24*'Settings &amp; Assumptions'!$B$17+'Settings &amp; Assumptions'!$B$18)*C24)</x:f>
        <x:v>n.b.</x:v>
      </x:c>
      <x:c r="G24" s="12" t="str">
        <x:f>IF(NOT(ISNUMBER('Work &amp; Travel Planning'!C24)),"n.b.",IF('Work &amp; Travel Planning'!C24=1,'Settings &amp; Assumptions'!$B$24,'Settings &amp; Assumptions'!$B$23))</x:f>
        <x:v>n.b.</x:v>
      </x:c>
      <x:c r="H24" s="12" t="str">
        <x:f>IF(COUNT('Work &amp; Travel Planning'!H24:I24)&lt;2,"n.b.",SUM('Work &amp; Travel Planning'!H24:I24))</x:f>
        <x:v>n.b.</x:v>
      </x:c>
      <x:c r="I24" s="12" t="str">
        <x:f>IF(COUNT('Work &amp; Travel Planning'!E24:F24)&lt;2,"n.b.",SUM('Work &amp; Travel Planning'!E24:F24))</x:f>
        <x:v>n.b.</x:v>
      </x:c>
      <x:c r="J24" s="12" t="str">
        <x:f>IF(NOT(ISNUMBER('Work &amp; Travel Planning'!G24)),"n.b.",'Work &amp; Travel Planning'!G24)</x:f>
        <x:v>n.b.</x:v>
      </x:c>
      <x:c r="K24" s="12" t="str">
        <x:f>IF(NOT(ISNUMBER('Work &amp; Travel Planning'!D24)),"n.b.",'Work &amp; Travel Planning'!D24)</x:f>
        <x:v>n.b.</x:v>
      </x:c>
      <x:c r="L24" s="12" t="str">
        <x:f>IF(NOT(ISNUMBER('Work &amp; Travel Planning'!J24)),"n.b.",'Work &amp; Travel Planning'!J24)</x:f>
        <x:v>n.b.</x:v>
      </x:c>
      <x:c r="M24" s="12" t="str">
        <x:f>IF(COUNT(D24:L24)&lt;9,"n.b.",D24+E24-SUM(F24:J24)+K24-L24)</x:f>
        <x:v>n.b.</x:v>
      </x:c>
      <x:c r="N24" s="12" t="str">
        <x:f>IF(ISNUMBER(M24),MAX(0,'Settings &amp; Assumptions'!$B$25-M24),"n.b.")</x:f>
        <x:v>n.b.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14" t="n">
        <x:f>'Work &amp; Travel Planning'!A25</x:f>
        <x:v>46905</x:v>
      </x:c>
      <x:c r="B25" s="2" t="n">
        <x:f>'Settings &amp; Assumptions'!$G$9</x:f>
        <x:v>1</x:v>
      </x:c>
      <x:c r="C25" s="2" t="n">
        <x:f>'Settings &amp; Assumptions'!$G$10</x:f>
        <x:v>1</x:v>
      </x:c>
      <x:c r="D25" s="12" t="str">
        <x:f>M24</x:f>
        <x:v>n.b.</x:v>
      </x:c>
      <x:c r="E25" s="12" t="str">
        <x:f>IF(NOT(ISNUMBER('Work &amp; Travel Planning'!B25)),"n.b.",'Work &amp; Travel Planning'!B25*'Settings &amp; Assumptions'!$B$16*B25)</x:f>
        <x:v>n.b.</x:v>
      </x:c>
      <x:c r="F25" s="12" t="str">
        <x:f>IF(OR(NOT(ISNUMBER(E25)),COUNT('Settings &amp; Assumptions'!$B$17:'Settings &amp; Assumptions'!$B$18)&lt;2),"n.b.",(E25*'Settings &amp; Assumptions'!$B$17+'Settings &amp; Assumptions'!$B$18)*C25)</x:f>
        <x:v>n.b.</x:v>
      </x:c>
      <x:c r="G25" s="12" t="str">
        <x:f>IF(NOT(ISNUMBER('Work &amp; Travel Planning'!C25)),"n.b.",IF('Work &amp; Travel Planning'!C25=1,'Settings &amp; Assumptions'!$B$24,'Settings &amp; Assumptions'!$B$23))</x:f>
        <x:v>n.b.</x:v>
      </x:c>
      <x:c r="H25" s="12" t="str">
        <x:f>IF(COUNT('Work &amp; Travel Planning'!H25:I25)&lt;2,"n.b.",SUM('Work &amp; Travel Planning'!H25:I25))</x:f>
        <x:v>n.b.</x:v>
      </x:c>
      <x:c r="I25" s="12" t="str">
        <x:f>IF(COUNT('Work &amp; Travel Planning'!E25:F25)&lt;2,"n.b.",SUM('Work &amp; Travel Planning'!E25:F25))</x:f>
        <x:v>n.b.</x:v>
      </x:c>
      <x:c r="J25" s="12" t="str">
        <x:f>IF(NOT(ISNUMBER('Work &amp; Travel Planning'!G25)),"n.b.",'Work &amp; Travel Planning'!G25)</x:f>
        <x:v>n.b.</x:v>
      </x:c>
      <x:c r="K25" s="12" t="str">
        <x:f>IF(NOT(ISNUMBER('Work &amp; Travel Planning'!D25)),"n.b.",'Work &amp; Travel Planning'!D25)</x:f>
        <x:v>n.b.</x:v>
      </x:c>
      <x:c r="L25" s="12" t="str">
        <x:f>IF(NOT(ISNUMBER('Work &amp; Travel Planning'!J25)),"n.b.",'Work &amp; Travel Planning'!J25)</x:f>
        <x:v>n.b.</x:v>
      </x:c>
      <x:c r="M25" s="12" t="str">
        <x:f>IF(COUNT(D25:L25)&lt;9,"n.b.",D25+E25-SUM(F25:J25)+K25-L25)</x:f>
        <x:v>n.b.</x:v>
      </x:c>
      <x:c r="N25" s="12" t="str">
        <x:f>IF(ISNUMBER(M25),MAX(0,'Settings &amp; Assumptions'!$B$25-M25),"n.b.")</x:f>
        <x:v>n.b.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14" t="n">
        <x:f>'Work &amp; Travel Planning'!A26</x:f>
        <x:v>46935</x:v>
      </x:c>
      <x:c r="B26" s="2" t="n">
        <x:f>'Settings &amp; Assumptions'!$G$9</x:f>
        <x:v>1</x:v>
      </x:c>
      <x:c r="C26" s="2" t="n">
        <x:f>'Settings &amp; Assumptions'!$G$10</x:f>
        <x:v>1</x:v>
      </x:c>
      <x:c r="D26" s="12" t="str">
        <x:f>M25</x:f>
        <x:v>n.b.</x:v>
      </x:c>
      <x:c r="E26" s="12" t="str">
        <x:f>IF(NOT(ISNUMBER('Work &amp; Travel Planning'!B26)),"n.b.",'Work &amp; Travel Planning'!B26*'Settings &amp; Assumptions'!$B$16*B26)</x:f>
        <x:v>n.b.</x:v>
      </x:c>
      <x:c r="F26" s="12" t="str">
        <x:f>IF(OR(NOT(ISNUMBER(E26)),COUNT('Settings &amp; Assumptions'!$B$17:'Settings &amp; Assumptions'!$B$18)&lt;2),"n.b.",(E26*'Settings &amp; Assumptions'!$B$17+'Settings &amp; Assumptions'!$B$18)*C26)</x:f>
        <x:v>n.b.</x:v>
      </x:c>
      <x:c r="G26" s="12" t="str">
        <x:f>IF(NOT(ISNUMBER('Work &amp; Travel Planning'!C26)),"n.b.",IF('Work &amp; Travel Planning'!C26=1,'Settings &amp; Assumptions'!$B$24,'Settings &amp; Assumptions'!$B$23))</x:f>
        <x:v>n.b.</x:v>
      </x:c>
      <x:c r="H26" s="12" t="str">
        <x:f>IF(COUNT('Work &amp; Travel Planning'!H26:I26)&lt;2,"n.b.",SUM('Work &amp; Travel Planning'!H26:I26))</x:f>
        <x:v>n.b.</x:v>
      </x:c>
      <x:c r="I26" s="12" t="str">
        <x:f>IF(COUNT('Work &amp; Travel Planning'!E26:F26)&lt;2,"n.b.",SUM('Work &amp; Travel Planning'!E26:F26))</x:f>
        <x:v>n.b.</x:v>
      </x:c>
      <x:c r="J26" s="12" t="str">
        <x:f>IF(NOT(ISNUMBER('Work &amp; Travel Planning'!G26)),"n.b.",'Work &amp; Travel Planning'!G26)</x:f>
        <x:v>n.b.</x:v>
      </x:c>
      <x:c r="K26" s="12" t="str">
        <x:f>IF(NOT(ISNUMBER('Work &amp; Travel Planning'!D26)),"n.b.",'Work &amp; Travel Planning'!D26)</x:f>
        <x:v>n.b.</x:v>
      </x:c>
      <x:c r="L26" s="12" t="str">
        <x:f>IF(NOT(ISNUMBER('Work &amp; Travel Planning'!J26)),"n.b.",'Work &amp; Travel Planning'!J26)</x:f>
        <x:v>n.b.</x:v>
      </x:c>
      <x:c r="M26" s="12" t="str">
        <x:f>IF(COUNT(D26:L26)&lt;9,"n.b.",D26+E26-SUM(F26:J26)+K26-L26)</x:f>
        <x:v>n.b.</x:v>
      </x:c>
      <x:c r="N26" s="12" t="str">
        <x:f>IF(ISNUMBER(M26),MAX(0,'Settings &amp; Assumptions'!$B$25-M26),"n.b.")</x:f>
        <x:v>n.b.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14" t="n">
        <x:f>'Work &amp; Travel Planning'!A27</x:f>
        <x:v>46966</x:v>
      </x:c>
      <x:c r="B27" s="2" t="n">
        <x:f>'Settings &amp; Assumptions'!$G$9</x:f>
        <x:v>1</x:v>
      </x:c>
      <x:c r="C27" s="2" t="n">
        <x:f>'Settings &amp; Assumptions'!$G$10</x:f>
        <x:v>1</x:v>
      </x:c>
      <x:c r="D27" s="12" t="str">
        <x:f>M26</x:f>
        <x:v>n.b.</x:v>
      </x:c>
      <x:c r="E27" s="12" t="str">
        <x:f>IF(NOT(ISNUMBER('Work &amp; Travel Planning'!B27)),"n.b.",'Work &amp; Travel Planning'!B27*'Settings &amp; Assumptions'!$B$16*B27)</x:f>
        <x:v>n.b.</x:v>
      </x:c>
      <x:c r="F27" s="12" t="str">
        <x:f>IF(OR(NOT(ISNUMBER(E27)),COUNT('Settings &amp; Assumptions'!$B$17:'Settings &amp; Assumptions'!$B$18)&lt;2),"n.b.",(E27*'Settings &amp; Assumptions'!$B$17+'Settings &amp; Assumptions'!$B$18)*C27)</x:f>
        <x:v>n.b.</x:v>
      </x:c>
      <x:c r="G27" s="12" t="str">
        <x:f>IF(NOT(ISNUMBER('Work &amp; Travel Planning'!C27)),"n.b.",IF('Work &amp; Travel Planning'!C27=1,'Settings &amp; Assumptions'!$B$24,'Settings &amp; Assumptions'!$B$23))</x:f>
        <x:v>n.b.</x:v>
      </x:c>
      <x:c r="H27" s="12" t="str">
        <x:f>IF(COUNT('Work &amp; Travel Planning'!H27:I27)&lt;2,"n.b.",SUM('Work &amp; Travel Planning'!H27:I27))</x:f>
        <x:v>n.b.</x:v>
      </x:c>
      <x:c r="I27" s="12" t="str">
        <x:f>IF(COUNT('Work &amp; Travel Planning'!E27:F27)&lt;2,"n.b.",SUM('Work &amp; Travel Planning'!E27:F27))</x:f>
        <x:v>n.b.</x:v>
      </x:c>
      <x:c r="J27" s="12" t="str">
        <x:f>IF(NOT(ISNUMBER('Work &amp; Travel Planning'!G27)),"n.b.",'Work &amp; Travel Planning'!G27)</x:f>
        <x:v>n.b.</x:v>
      </x:c>
      <x:c r="K27" s="12" t="str">
        <x:f>IF(NOT(ISNUMBER('Work &amp; Travel Planning'!D27)),"n.b.",'Work &amp; Travel Planning'!D27)</x:f>
        <x:v>n.b.</x:v>
      </x:c>
      <x:c r="L27" s="12" t="str">
        <x:f>IF(NOT(ISNUMBER('Work &amp; Travel Planning'!J27)),"n.b.",'Work &amp; Travel Planning'!J27)</x:f>
        <x:v>n.b.</x:v>
      </x:c>
      <x:c r="M27" s="12" t="str">
        <x:f>IF(COUNT(D27:L27)&lt;9,"n.b.",D27+E27-SUM(F27:J27)+K27-L27)</x:f>
        <x:v>n.b.</x:v>
      </x:c>
      <x:c r="N27" s="12" t="str">
        <x:f>IF(ISNUMBER(M27),MAX(0,'Settings &amp; Assumptions'!$B$25-M27),"n.b.")</x:f>
        <x:v>n.b.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14" t="n">
        <x:f>'Work &amp; Travel Planning'!A28</x:f>
        <x:v>46997</x:v>
      </x:c>
      <x:c r="B28" s="2" t="n">
        <x:f>'Settings &amp; Assumptions'!$G$9</x:f>
        <x:v>1</x:v>
      </x:c>
      <x:c r="C28" s="2" t="n">
        <x:f>'Settings &amp; Assumptions'!$G$10</x:f>
        <x:v>1</x:v>
      </x:c>
      <x:c r="D28" s="12" t="str">
        <x:f>M27</x:f>
        <x:v>n.b.</x:v>
      </x:c>
      <x:c r="E28" s="12" t="str">
        <x:f>IF(NOT(ISNUMBER('Work &amp; Travel Planning'!B28)),"n.b.",'Work &amp; Travel Planning'!B28*'Settings &amp; Assumptions'!$B$16*B28)</x:f>
        <x:v>n.b.</x:v>
      </x:c>
      <x:c r="F28" s="12" t="str">
        <x:f>IF(OR(NOT(ISNUMBER(E28)),COUNT('Settings &amp; Assumptions'!$B$17:'Settings &amp; Assumptions'!$B$18)&lt;2),"n.b.",(E28*'Settings &amp; Assumptions'!$B$17+'Settings &amp; Assumptions'!$B$18)*C28)</x:f>
        <x:v>n.b.</x:v>
      </x:c>
      <x:c r="G28" s="12" t="str">
        <x:f>IF(NOT(ISNUMBER('Work &amp; Travel Planning'!C28)),"n.b.",IF('Work &amp; Travel Planning'!C28=1,'Settings &amp; Assumptions'!$B$24,'Settings &amp; Assumptions'!$B$23))</x:f>
        <x:v>n.b.</x:v>
      </x:c>
      <x:c r="H28" s="12" t="str">
        <x:f>IF(COUNT('Work &amp; Travel Planning'!H28:I28)&lt;2,"n.b.",SUM('Work &amp; Travel Planning'!H28:I28))</x:f>
        <x:v>n.b.</x:v>
      </x:c>
      <x:c r="I28" s="12" t="str">
        <x:f>IF(COUNT('Work &amp; Travel Planning'!E28:F28)&lt;2,"n.b.",SUM('Work &amp; Travel Planning'!E28:F28))</x:f>
        <x:v>n.b.</x:v>
      </x:c>
      <x:c r="J28" s="12" t="str">
        <x:f>IF(NOT(ISNUMBER('Work &amp; Travel Planning'!G28)),"n.b.",'Work &amp; Travel Planning'!G28)</x:f>
        <x:v>n.b.</x:v>
      </x:c>
      <x:c r="K28" s="12" t="str">
        <x:f>IF(NOT(ISNUMBER('Work &amp; Travel Planning'!D28)),"n.b.",'Work &amp; Travel Planning'!D28)</x:f>
        <x:v>n.b.</x:v>
      </x:c>
      <x:c r="L28" s="12" t="str">
        <x:f>IF(NOT(ISNUMBER('Work &amp; Travel Planning'!J28)),"n.b.",'Work &amp; Travel Planning'!J28)</x:f>
        <x:v>n.b.</x:v>
      </x:c>
      <x:c r="M28" s="12" t="str">
        <x:f>IF(COUNT(D28:L28)&lt;9,"n.b.",D28+E28-SUM(F28:J28)+K28-L28)</x:f>
        <x:v>n.b.</x:v>
      </x:c>
      <x:c r="N28" s="12" t="str">
        <x:f>IF(ISNUMBER(M28),MAX(0,'Settings &amp; Assumptions'!$B$25-M28),"n.b.")</x:f>
        <x:v>n.b.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14" t="n">
        <x:f>'Work &amp; Travel Planning'!A29</x:f>
        <x:v>47027</x:v>
      </x:c>
      <x:c r="B29" s="2" t="n">
        <x:f>'Settings &amp; Assumptions'!$G$9</x:f>
        <x:v>1</x:v>
      </x:c>
      <x:c r="C29" s="2" t="n">
        <x:f>'Settings &amp; Assumptions'!$G$10</x:f>
        <x:v>1</x:v>
      </x:c>
      <x:c r="D29" s="12" t="str">
        <x:f>M28</x:f>
        <x:v>n.b.</x:v>
      </x:c>
      <x:c r="E29" s="12" t="str">
        <x:f>IF(NOT(ISNUMBER('Work &amp; Travel Planning'!B29)),"n.b.",'Work &amp; Travel Planning'!B29*'Settings &amp; Assumptions'!$B$16*B29)</x:f>
        <x:v>n.b.</x:v>
      </x:c>
      <x:c r="F29" s="12" t="str">
        <x:f>IF(OR(NOT(ISNUMBER(E29)),COUNT('Settings &amp; Assumptions'!$B$17:'Settings &amp; Assumptions'!$B$18)&lt;2),"n.b.",(E29*'Settings &amp; Assumptions'!$B$17+'Settings &amp; Assumptions'!$B$18)*C29)</x:f>
        <x:v>n.b.</x:v>
      </x:c>
      <x:c r="G29" s="12" t="str">
        <x:f>IF(NOT(ISNUMBER('Work &amp; Travel Planning'!C29)),"n.b.",IF('Work &amp; Travel Planning'!C29=1,'Settings &amp; Assumptions'!$B$24,'Settings &amp; Assumptions'!$B$23))</x:f>
        <x:v>n.b.</x:v>
      </x:c>
      <x:c r="H29" s="12" t="str">
        <x:f>IF(COUNT('Work &amp; Travel Planning'!H29:I29)&lt;2,"n.b.",SUM('Work &amp; Travel Planning'!H29:I29))</x:f>
        <x:v>n.b.</x:v>
      </x:c>
      <x:c r="I29" s="12" t="str">
        <x:f>IF(COUNT('Work &amp; Travel Planning'!E29:F29)&lt;2,"n.b.",SUM('Work &amp; Travel Planning'!E29:F29))</x:f>
        <x:v>n.b.</x:v>
      </x:c>
      <x:c r="J29" s="12" t="str">
        <x:f>IF(NOT(ISNUMBER('Work &amp; Travel Planning'!G29)),"n.b.",'Work &amp; Travel Planning'!G29)</x:f>
        <x:v>n.b.</x:v>
      </x:c>
      <x:c r="K29" s="12" t="str">
        <x:f>IF(NOT(ISNUMBER('Work &amp; Travel Planning'!D29)),"n.b.",'Work &amp; Travel Planning'!D29)</x:f>
        <x:v>n.b.</x:v>
      </x:c>
      <x:c r="L29" s="12" t="str">
        <x:f>IF(NOT(ISNUMBER('Work &amp; Travel Planning'!J29)),"n.b.",'Work &amp; Travel Planning'!J29)</x:f>
        <x:v>n.b.</x:v>
      </x:c>
      <x:c r="M29" s="12" t="str">
        <x:f>IF(COUNT(D29:L29)&lt;9,"n.b.",D29+E29-SUM(F29:J29)+K29-L29)</x:f>
        <x:v>n.b.</x:v>
      </x:c>
      <x:c r="N29" s="12" t="str">
        <x:f>IF(ISNUMBER(M29),MAX(0,'Settings &amp; Assumptions'!$B$25-M29),"n.b.")</x:f>
        <x:v>n.b.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14" t="n">
        <x:f>'Work &amp; Travel Planning'!A30</x:f>
        <x:v>47058</x:v>
      </x:c>
      <x:c r="B30" s="2" t="n">
        <x:f>'Settings &amp; Assumptions'!$G$9</x:f>
        <x:v>1</x:v>
      </x:c>
      <x:c r="C30" s="2" t="n">
        <x:f>'Settings &amp; Assumptions'!$G$10</x:f>
        <x:v>1</x:v>
      </x:c>
      <x:c r="D30" s="12" t="str">
        <x:f>M29</x:f>
        <x:v>n.b.</x:v>
      </x:c>
      <x:c r="E30" s="12" t="str">
        <x:f>IF(NOT(ISNUMBER('Work &amp; Travel Planning'!B30)),"n.b.",'Work &amp; Travel Planning'!B30*'Settings &amp; Assumptions'!$B$16*B30)</x:f>
        <x:v>n.b.</x:v>
      </x:c>
      <x:c r="F30" s="12" t="str">
        <x:f>IF(OR(NOT(ISNUMBER(E30)),COUNT('Settings &amp; Assumptions'!$B$17:'Settings &amp; Assumptions'!$B$18)&lt;2),"n.b.",(E30*'Settings &amp; Assumptions'!$B$17+'Settings &amp; Assumptions'!$B$18)*C30)</x:f>
        <x:v>n.b.</x:v>
      </x:c>
      <x:c r="G30" s="12" t="str">
        <x:f>IF(NOT(ISNUMBER('Work &amp; Travel Planning'!C30)),"n.b.",IF('Work &amp; Travel Planning'!C30=1,'Settings &amp; Assumptions'!$B$24,'Settings &amp; Assumptions'!$B$23))</x:f>
        <x:v>n.b.</x:v>
      </x:c>
      <x:c r="H30" s="12" t="str">
        <x:f>IF(COUNT('Work &amp; Travel Planning'!H30:I30)&lt;2,"n.b.",SUM('Work &amp; Travel Planning'!H30:I30))</x:f>
        <x:v>n.b.</x:v>
      </x:c>
      <x:c r="I30" s="12" t="str">
        <x:f>IF(COUNT('Work &amp; Travel Planning'!E30:F30)&lt;2,"n.b.",SUM('Work &amp; Travel Planning'!E30:F30))</x:f>
        <x:v>n.b.</x:v>
      </x:c>
      <x:c r="J30" s="12" t="str">
        <x:f>IF(NOT(ISNUMBER('Work &amp; Travel Planning'!G30)),"n.b.",'Work &amp; Travel Planning'!G30)</x:f>
        <x:v>n.b.</x:v>
      </x:c>
      <x:c r="K30" s="12" t="str">
        <x:f>IF(NOT(ISNUMBER('Work &amp; Travel Planning'!D30)),"n.b.",'Work &amp; Travel Planning'!D30)</x:f>
        <x:v>n.b.</x:v>
      </x:c>
      <x:c r="L30" s="12" t="str">
        <x:f>IF(NOT(ISNUMBER('Work &amp; Travel Planning'!J30)),"n.b.",'Work &amp; Travel Planning'!J30)</x:f>
        <x:v>n.b.</x:v>
      </x:c>
      <x:c r="M30" s="12" t="str">
        <x:f>IF(COUNT(D30:L30)&lt;9,"n.b.",D30+E30-SUM(F30:J30)+K30-L30)</x:f>
        <x:v>n.b.</x:v>
      </x:c>
      <x:c r="N30" s="12" t="str">
        <x:f>IF(ISNUMBER(M30),MAX(0,'Settings &amp; Assumptions'!$B$25-M30),"n.b.")</x:f>
        <x:v>n.b.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14" t="n">
        <x:f>'Work &amp; Travel Planning'!A31</x:f>
        <x:v>47088</x:v>
      </x:c>
      <x:c r="B31" s="2" t="n">
        <x:f>'Settings &amp; Assumptions'!$G$9</x:f>
        <x:v>1</x:v>
      </x:c>
      <x:c r="C31" s="2" t="n">
        <x:f>'Settings &amp; Assumptions'!$G$10</x:f>
        <x:v>1</x:v>
      </x:c>
      <x:c r="D31" s="12" t="str">
        <x:f>M30</x:f>
        <x:v>n.b.</x:v>
      </x:c>
      <x:c r="E31" s="12" t="str">
        <x:f>IF(NOT(ISNUMBER('Work &amp; Travel Planning'!B31)),"n.b.",'Work &amp; Travel Planning'!B31*'Settings &amp; Assumptions'!$B$16*B31)</x:f>
        <x:v>n.b.</x:v>
      </x:c>
      <x:c r="F31" s="12" t="str">
        <x:f>IF(OR(NOT(ISNUMBER(E31)),COUNT('Settings &amp; Assumptions'!$B$17:'Settings &amp; Assumptions'!$B$18)&lt;2),"n.b.",(E31*'Settings &amp; Assumptions'!$B$17+'Settings &amp; Assumptions'!$B$18)*C31)</x:f>
        <x:v>n.b.</x:v>
      </x:c>
      <x:c r="G31" s="12" t="str">
        <x:f>IF(NOT(ISNUMBER('Work &amp; Travel Planning'!C31)),"n.b.",IF('Work &amp; Travel Planning'!C31=1,'Settings &amp; Assumptions'!$B$24,'Settings &amp; Assumptions'!$B$23))</x:f>
        <x:v>n.b.</x:v>
      </x:c>
      <x:c r="H31" s="12" t="str">
        <x:f>IF(COUNT('Work &amp; Travel Planning'!H31:I31)&lt;2,"n.b.",SUM('Work &amp; Travel Planning'!H31:I31))</x:f>
        <x:v>n.b.</x:v>
      </x:c>
      <x:c r="I31" s="12" t="str">
        <x:f>IF(COUNT('Work &amp; Travel Planning'!E31:F31)&lt;2,"n.b.",SUM('Work &amp; Travel Planning'!E31:F31))</x:f>
        <x:v>n.b.</x:v>
      </x:c>
      <x:c r="J31" s="12" t="str">
        <x:f>IF(NOT(ISNUMBER('Work &amp; Travel Planning'!G31)),"n.b.",'Work &amp; Travel Planning'!G31)</x:f>
        <x:v>n.b.</x:v>
      </x:c>
      <x:c r="K31" s="12" t="str">
        <x:f>IF(NOT(ISNUMBER('Work &amp; Travel Planning'!D31)),"n.b.",'Work &amp; Travel Planning'!D31)</x:f>
        <x:v>n.b.</x:v>
      </x:c>
      <x:c r="L31" s="12" t="str">
        <x:f>IF(NOT(ISNUMBER('Work &amp; Travel Planning'!J31)),"n.b.",'Work &amp; Travel Planning'!J31)</x:f>
        <x:v>n.b.</x:v>
      </x:c>
      <x:c r="M31" s="12" t="str">
        <x:f>IF(COUNT(D31:L31)&lt;9,"n.b.",D31+E31-SUM(F31:J31)+K31-L31)</x:f>
        <x:v>n.b.</x:v>
      </x:c>
      <x:c r="N31" s="12" t="str">
        <x:f>IF(ISNUMBER(M31),MAX(0,'Settings &amp; Assumptions'!$B$25-M31),"n.b.")</x:f>
        <x:v>n.b.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14" t="n">
        <x:f>'Work &amp; Travel Planning'!A32</x:f>
        <x:v>47119</x:v>
      </x:c>
      <x:c r="B32" s="2" t="n">
        <x:f>'Settings &amp; Assumptions'!$G$9</x:f>
        <x:v>1</x:v>
      </x:c>
      <x:c r="C32" s="2" t="n">
        <x:f>'Settings &amp; Assumptions'!$G$10</x:f>
        <x:v>1</x:v>
      </x:c>
      <x:c r="D32" s="12" t="str">
        <x:f>M31</x:f>
        <x:v>n.b.</x:v>
      </x:c>
      <x:c r="E32" s="12" t="str">
        <x:f>IF(NOT(ISNUMBER('Work &amp; Travel Planning'!B32)),"n.b.",'Work &amp; Travel Planning'!B32*'Settings &amp; Assumptions'!$B$16*B32)</x:f>
        <x:v>n.b.</x:v>
      </x:c>
      <x:c r="F32" s="12" t="str">
        <x:f>IF(OR(NOT(ISNUMBER(E32)),COUNT('Settings &amp; Assumptions'!$B$17:'Settings &amp; Assumptions'!$B$18)&lt;2),"n.b.",(E32*'Settings &amp; Assumptions'!$B$17+'Settings &amp; Assumptions'!$B$18)*C32)</x:f>
        <x:v>n.b.</x:v>
      </x:c>
      <x:c r="G32" s="12" t="str">
        <x:f>IF(NOT(ISNUMBER('Work &amp; Travel Planning'!C32)),"n.b.",IF('Work &amp; Travel Planning'!C32=1,'Settings &amp; Assumptions'!$B$24,'Settings &amp; Assumptions'!$B$23))</x:f>
        <x:v>n.b.</x:v>
      </x:c>
      <x:c r="H32" s="12" t="str">
        <x:f>IF(COUNT('Work &amp; Travel Planning'!H32:I32)&lt;2,"n.b.",SUM('Work &amp; Travel Planning'!H32:I32))</x:f>
        <x:v>n.b.</x:v>
      </x:c>
      <x:c r="I32" s="12" t="str">
        <x:f>IF(COUNT('Work &amp; Travel Planning'!E32:F32)&lt;2,"n.b.",SUM('Work &amp; Travel Planning'!E32:F32))</x:f>
        <x:v>n.b.</x:v>
      </x:c>
      <x:c r="J32" s="12" t="str">
        <x:f>IF(NOT(ISNUMBER('Work &amp; Travel Planning'!G32)),"n.b.",'Work &amp; Travel Planning'!G32)</x:f>
        <x:v>n.b.</x:v>
      </x:c>
      <x:c r="K32" s="12" t="str">
        <x:f>IF(NOT(ISNUMBER('Work &amp; Travel Planning'!D32)),"n.b.",'Work &amp; Travel Planning'!D32)</x:f>
        <x:v>n.b.</x:v>
      </x:c>
      <x:c r="L32" s="12" t="str">
        <x:f>IF(NOT(ISNUMBER('Work &amp; Travel Planning'!J32)),"n.b.",'Work &amp; Travel Planning'!J32)</x:f>
        <x:v>n.b.</x:v>
      </x:c>
      <x:c r="M32" s="12" t="str">
        <x:f>IF(COUNT(D32:L32)&lt;9,"n.b.",D32+E32-SUM(F32:J32)+K32-L32)</x:f>
        <x:v>n.b.</x:v>
      </x:c>
      <x:c r="N32" s="12" t="str">
        <x:f>IF(ISNUMBER(M32),MAX(0,'Settings &amp; Assumptions'!$B$25-M32),"n.b.")</x:f>
        <x:v>n.b.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14" t="n">
        <x:f>'Work &amp; Travel Planning'!A33</x:f>
        <x:v>47150</x:v>
      </x:c>
      <x:c r="B33" s="2" t="n">
        <x:f>'Settings &amp; Assumptions'!$G$9</x:f>
        <x:v>1</x:v>
      </x:c>
      <x:c r="C33" s="2" t="n">
        <x:f>'Settings &amp; Assumptions'!$G$10</x:f>
        <x:v>1</x:v>
      </x:c>
      <x:c r="D33" s="12" t="str">
        <x:f>M32</x:f>
        <x:v>n.b.</x:v>
      </x:c>
      <x:c r="E33" s="12" t="str">
        <x:f>IF(NOT(ISNUMBER('Work &amp; Travel Planning'!B33)),"n.b.",'Work &amp; Travel Planning'!B33*'Settings &amp; Assumptions'!$B$16*B33)</x:f>
        <x:v>n.b.</x:v>
      </x:c>
      <x:c r="F33" s="12" t="str">
        <x:f>IF(OR(NOT(ISNUMBER(E33)),COUNT('Settings &amp; Assumptions'!$B$17:'Settings &amp; Assumptions'!$B$18)&lt;2),"n.b.",(E33*'Settings &amp; Assumptions'!$B$17+'Settings &amp; Assumptions'!$B$18)*C33)</x:f>
        <x:v>n.b.</x:v>
      </x:c>
      <x:c r="G33" s="12" t="str">
        <x:f>IF(NOT(ISNUMBER('Work &amp; Travel Planning'!C33)),"n.b.",IF('Work &amp; Travel Planning'!C33=1,'Settings &amp; Assumptions'!$B$24,'Settings &amp; Assumptions'!$B$23))</x:f>
        <x:v>n.b.</x:v>
      </x:c>
      <x:c r="H33" s="12" t="str">
        <x:f>IF(COUNT('Work &amp; Travel Planning'!H33:I33)&lt;2,"n.b.",SUM('Work &amp; Travel Planning'!H33:I33))</x:f>
        <x:v>n.b.</x:v>
      </x:c>
      <x:c r="I33" s="12" t="str">
        <x:f>IF(COUNT('Work &amp; Travel Planning'!E33:F33)&lt;2,"n.b.",SUM('Work &amp; Travel Planning'!E33:F33))</x:f>
        <x:v>n.b.</x:v>
      </x:c>
      <x:c r="J33" s="12" t="str">
        <x:f>IF(NOT(ISNUMBER('Work &amp; Travel Planning'!G33)),"n.b.",'Work &amp; Travel Planning'!G33)</x:f>
        <x:v>n.b.</x:v>
      </x:c>
      <x:c r="K33" s="12" t="str">
        <x:f>IF(NOT(ISNUMBER('Work &amp; Travel Planning'!D33)),"n.b.",'Work &amp; Travel Planning'!D33)</x:f>
        <x:v>n.b.</x:v>
      </x:c>
      <x:c r="L33" s="12" t="str">
        <x:f>IF(NOT(ISNUMBER('Work &amp; Travel Planning'!J33)),"n.b.",'Work &amp; Travel Planning'!J33)</x:f>
        <x:v>n.b.</x:v>
      </x:c>
      <x:c r="M33" s="12" t="str">
        <x:f>IF(COUNT(D33:L33)&lt;9,"n.b.",D33+E33-SUM(F33:J33)+K33-L33)</x:f>
        <x:v>n.b.</x:v>
      </x:c>
      <x:c r="N33" s="12" t="str">
        <x:f>IF(ISNUMBER(M33),MAX(0,'Settings &amp; Assumptions'!$B$25-M33),"n.b.")</x:f>
        <x:v>n.b.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14" t="n">
        <x:f>'Work &amp; Travel Planning'!A34</x:f>
        <x:v>47178</x:v>
      </x:c>
      <x:c r="B34" s="2" t="n">
        <x:f>'Settings &amp; Assumptions'!$G$9</x:f>
        <x:v>1</x:v>
      </x:c>
      <x:c r="C34" s="2" t="n">
        <x:f>'Settings &amp; Assumptions'!$G$10</x:f>
        <x:v>1</x:v>
      </x:c>
      <x:c r="D34" s="12" t="str">
        <x:f>M33</x:f>
        <x:v>n.b.</x:v>
      </x:c>
      <x:c r="E34" s="12" t="str">
        <x:f>IF(NOT(ISNUMBER('Work &amp; Travel Planning'!B34)),"n.b.",'Work &amp; Travel Planning'!B34*'Settings &amp; Assumptions'!$B$16*B34)</x:f>
        <x:v>n.b.</x:v>
      </x:c>
      <x:c r="F34" s="12" t="str">
        <x:f>IF(OR(NOT(ISNUMBER(E34)),COUNT('Settings &amp; Assumptions'!$B$17:'Settings &amp; Assumptions'!$B$18)&lt;2),"n.b.",(E34*'Settings &amp; Assumptions'!$B$17+'Settings &amp; Assumptions'!$B$18)*C34)</x:f>
        <x:v>n.b.</x:v>
      </x:c>
      <x:c r="G34" s="12" t="str">
        <x:f>IF(NOT(ISNUMBER('Work &amp; Travel Planning'!C34)),"n.b.",IF('Work &amp; Travel Planning'!C34=1,'Settings &amp; Assumptions'!$B$24,'Settings &amp; Assumptions'!$B$23))</x:f>
        <x:v>n.b.</x:v>
      </x:c>
      <x:c r="H34" s="12" t="str">
        <x:f>IF(COUNT('Work &amp; Travel Planning'!H34:I34)&lt;2,"n.b.",SUM('Work &amp; Travel Planning'!H34:I34))</x:f>
        <x:v>n.b.</x:v>
      </x:c>
      <x:c r="I34" s="12" t="str">
        <x:f>IF(COUNT('Work &amp; Travel Planning'!E34:F34)&lt;2,"n.b.",SUM('Work &amp; Travel Planning'!E34:F34))</x:f>
        <x:v>n.b.</x:v>
      </x:c>
      <x:c r="J34" s="12" t="str">
        <x:f>IF(NOT(ISNUMBER('Work &amp; Travel Planning'!G34)),"n.b.",'Work &amp; Travel Planning'!G34)</x:f>
        <x:v>n.b.</x:v>
      </x:c>
      <x:c r="K34" s="12" t="str">
        <x:f>IF(NOT(ISNUMBER('Work &amp; Travel Planning'!D34)),"n.b.",'Work &amp; Travel Planning'!D34)</x:f>
        <x:v>n.b.</x:v>
      </x:c>
      <x:c r="L34" s="12" t="str">
        <x:f>IF(NOT(ISNUMBER('Work &amp; Travel Planning'!J34)),"n.b.",'Work &amp; Travel Planning'!J34)</x:f>
        <x:v>n.b.</x:v>
      </x:c>
      <x:c r="M34" s="12" t="str">
        <x:f>IF(COUNT(D34:L34)&lt;9,"n.b.",D34+E34-SUM(F34:J34)+K34-L34)</x:f>
        <x:v>n.b.</x:v>
      </x:c>
      <x:c r="N34" s="12" t="str">
        <x:f>IF(ISNUMBER(M34),MAX(0,'Settings &amp; Assumptions'!$B$25-M34),"n.b.")</x:f>
        <x:v>n.b.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14" t="n">
        <x:f>'Work &amp; Travel Planning'!A35</x:f>
        <x:v>47209</x:v>
      </x:c>
      <x:c r="B35" s="2" t="n">
        <x:f>'Settings &amp; Assumptions'!$G$9</x:f>
        <x:v>1</x:v>
      </x:c>
      <x:c r="C35" s="2" t="n">
        <x:f>'Settings &amp; Assumptions'!$G$10</x:f>
        <x:v>1</x:v>
      </x:c>
      <x:c r="D35" s="12" t="str">
        <x:f>M34</x:f>
        <x:v>n.b.</x:v>
      </x:c>
      <x:c r="E35" s="12" t="str">
        <x:f>IF(NOT(ISNUMBER('Work &amp; Travel Planning'!B35)),"n.b.",'Work &amp; Travel Planning'!B35*'Settings &amp; Assumptions'!$B$16*B35)</x:f>
        <x:v>n.b.</x:v>
      </x:c>
      <x:c r="F35" s="12" t="str">
        <x:f>IF(OR(NOT(ISNUMBER(E35)),COUNT('Settings &amp; Assumptions'!$B$17:'Settings &amp; Assumptions'!$B$18)&lt;2),"n.b.",(E35*'Settings &amp; Assumptions'!$B$17+'Settings &amp; Assumptions'!$B$18)*C35)</x:f>
        <x:v>n.b.</x:v>
      </x:c>
      <x:c r="G35" s="12" t="str">
        <x:f>IF(NOT(ISNUMBER('Work &amp; Travel Planning'!C35)),"n.b.",IF('Work &amp; Travel Planning'!C35=1,'Settings &amp; Assumptions'!$B$24,'Settings &amp; Assumptions'!$B$23))</x:f>
        <x:v>n.b.</x:v>
      </x:c>
      <x:c r="H35" s="12" t="str">
        <x:f>IF(COUNT('Work &amp; Travel Planning'!H35:I35)&lt;2,"n.b.",SUM('Work &amp; Travel Planning'!H35:I35))</x:f>
        <x:v>n.b.</x:v>
      </x:c>
      <x:c r="I35" s="12" t="str">
        <x:f>IF(COUNT('Work &amp; Travel Planning'!E35:F35)&lt;2,"n.b.",SUM('Work &amp; Travel Planning'!E35:F35))</x:f>
        <x:v>n.b.</x:v>
      </x:c>
      <x:c r="J35" s="12" t="str">
        <x:f>IF(NOT(ISNUMBER('Work &amp; Travel Planning'!G35)),"n.b.",'Work &amp; Travel Planning'!G35)</x:f>
        <x:v>n.b.</x:v>
      </x:c>
      <x:c r="K35" s="12" t="str">
        <x:f>IF(NOT(ISNUMBER('Work &amp; Travel Planning'!D35)),"n.b.",'Work &amp; Travel Planning'!D35)</x:f>
        <x:v>n.b.</x:v>
      </x:c>
      <x:c r="L35" s="12" t="str">
        <x:f>IF(NOT(ISNUMBER('Work &amp; Travel Planning'!J35)),"n.b.",'Work &amp; Travel Planning'!J35)</x:f>
        <x:v>n.b.</x:v>
      </x:c>
      <x:c r="M35" s="12" t="str">
        <x:f>IF(COUNT(D35:L35)&lt;9,"n.b.",D35+E35-SUM(F35:J35)+K35-L35)</x:f>
        <x:v>n.b.</x:v>
      </x:c>
      <x:c r="N35" s="12" t="str">
        <x:f>IF(ISNUMBER(M35),MAX(0,'Settings &amp; Assumptions'!$B$25-M35),"n.b.")</x:f>
        <x:v>n.b.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14" t="n">
        <x:f>'Work &amp; Travel Planning'!A36</x:f>
        <x:v>47239</x:v>
      </x:c>
      <x:c r="B36" s="2" t="n">
        <x:f>'Settings &amp; Assumptions'!$G$9</x:f>
        <x:v>1</x:v>
      </x:c>
      <x:c r="C36" s="2" t="n">
        <x:f>'Settings &amp; Assumptions'!$G$10</x:f>
        <x:v>1</x:v>
      </x:c>
      <x:c r="D36" s="12" t="str">
        <x:f>M35</x:f>
        <x:v>n.b.</x:v>
      </x:c>
      <x:c r="E36" s="12" t="str">
        <x:f>IF(NOT(ISNUMBER('Work &amp; Travel Planning'!B36)),"n.b.",'Work &amp; Travel Planning'!B36*'Settings &amp; Assumptions'!$B$16*B36)</x:f>
        <x:v>n.b.</x:v>
      </x:c>
      <x:c r="F36" s="12" t="str">
        <x:f>IF(OR(NOT(ISNUMBER(E36)),COUNT('Settings &amp; Assumptions'!$B$17:'Settings &amp; Assumptions'!$B$18)&lt;2),"n.b.",(E36*'Settings &amp; Assumptions'!$B$17+'Settings &amp; Assumptions'!$B$18)*C36)</x:f>
        <x:v>n.b.</x:v>
      </x:c>
      <x:c r="G36" s="12" t="str">
        <x:f>IF(NOT(ISNUMBER('Work &amp; Travel Planning'!C36)),"n.b.",IF('Work &amp; Travel Planning'!C36=1,'Settings &amp; Assumptions'!$B$24,'Settings &amp; Assumptions'!$B$23))</x:f>
        <x:v>n.b.</x:v>
      </x:c>
      <x:c r="H36" s="12" t="str">
        <x:f>IF(COUNT('Work &amp; Travel Planning'!H36:I36)&lt;2,"n.b.",SUM('Work &amp; Travel Planning'!H36:I36))</x:f>
        <x:v>n.b.</x:v>
      </x:c>
      <x:c r="I36" s="12" t="str">
        <x:f>IF(COUNT('Work &amp; Travel Planning'!E36:F36)&lt;2,"n.b.",SUM('Work &amp; Travel Planning'!E36:F36))</x:f>
        <x:v>n.b.</x:v>
      </x:c>
      <x:c r="J36" s="12" t="str">
        <x:f>IF(NOT(ISNUMBER('Work &amp; Travel Planning'!G36)),"n.b.",'Work &amp; Travel Planning'!G36)</x:f>
        <x:v>n.b.</x:v>
      </x:c>
      <x:c r="K36" s="12" t="str">
        <x:f>IF(NOT(ISNUMBER('Work &amp; Travel Planning'!D36)),"n.b.",'Work &amp; Travel Planning'!D36)</x:f>
        <x:v>n.b.</x:v>
      </x:c>
      <x:c r="L36" s="12" t="str">
        <x:f>IF(NOT(ISNUMBER('Work &amp; Travel Planning'!J36)),"n.b.",'Work &amp; Travel Planning'!J36)</x:f>
        <x:v>n.b.</x:v>
      </x:c>
      <x:c r="M36" s="12" t="str">
        <x:f>IF(COUNT(D36:L36)&lt;9,"n.b.",D36+E36-SUM(F36:J36)+K36-L36)</x:f>
        <x:v>n.b.</x:v>
      </x:c>
      <x:c r="N36" s="12" t="str">
        <x:f>IF(ISNUMBER(M36),MAX(0,'Settings &amp; Assumptions'!$B$25-M36),"n.b.")</x:f>
        <x:v>n.b.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14" t="n">
        <x:f>'Work &amp; Travel Planning'!A37</x:f>
        <x:v>47270</x:v>
      </x:c>
      <x:c r="B37" s="2" t="n">
        <x:f>'Settings &amp; Assumptions'!$G$9</x:f>
        <x:v>1</x:v>
      </x:c>
      <x:c r="C37" s="2" t="n">
        <x:f>'Settings &amp; Assumptions'!$G$10</x:f>
        <x:v>1</x:v>
      </x:c>
      <x:c r="D37" s="12" t="str">
        <x:f>M36</x:f>
        <x:v>n.b.</x:v>
      </x:c>
      <x:c r="E37" s="12" t="str">
        <x:f>IF(NOT(ISNUMBER('Work &amp; Travel Planning'!B37)),"n.b.",'Work &amp; Travel Planning'!B37*'Settings &amp; Assumptions'!$B$16*B37)</x:f>
        <x:v>n.b.</x:v>
      </x:c>
      <x:c r="F37" s="12" t="str">
        <x:f>IF(OR(NOT(ISNUMBER(E37)),COUNT('Settings &amp; Assumptions'!$B$17:'Settings &amp; Assumptions'!$B$18)&lt;2),"n.b.",(E37*'Settings &amp; Assumptions'!$B$17+'Settings &amp; Assumptions'!$B$18)*C37)</x:f>
        <x:v>n.b.</x:v>
      </x:c>
      <x:c r="G37" s="12" t="str">
        <x:f>IF(NOT(ISNUMBER('Work &amp; Travel Planning'!C37)),"n.b.",IF('Work &amp; Travel Planning'!C37=1,'Settings &amp; Assumptions'!$B$24,'Settings &amp; Assumptions'!$B$23))</x:f>
        <x:v>n.b.</x:v>
      </x:c>
      <x:c r="H37" s="12" t="str">
        <x:f>IF(COUNT('Work &amp; Travel Planning'!H37:I37)&lt;2,"n.b.",SUM('Work &amp; Travel Planning'!H37:I37))</x:f>
        <x:v>n.b.</x:v>
      </x:c>
      <x:c r="I37" s="12" t="str">
        <x:f>IF(COUNT('Work &amp; Travel Planning'!E37:F37)&lt;2,"n.b.",SUM('Work &amp; Travel Planning'!E37:F37))</x:f>
        <x:v>n.b.</x:v>
      </x:c>
      <x:c r="J37" s="12" t="str">
        <x:f>IF(NOT(ISNUMBER('Work &amp; Travel Planning'!G37)),"n.b.",'Work &amp; Travel Planning'!G37)</x:f>
        <x:v>n.b.</x:v>
      </x:c>
      <x:c r="K37" s="12" t="str">
        <x:f>IF(NOT(ISNUMBER('Work &amp; Travel Planning'!D37)),"n.b.",'Work &amp; Travel Planning'!D37)</x:f>
        <x:v>n.b.</x:v>
      </x:c>
      <x:c r="L37" s="12" t="str">
        <x:f>IF(NOT(ISNUMBER('Work &amp; Travel Planning'!J37)),"n.b.",'Work &amp; Travel Planning'!J37)</x:f>
        <x:v>n.b.</x:v>
      </x:c>
      <x:c r="M37" s="12" t="str">
        <x:f>IF(COUNT(D37:L37)&lt;9,"n.b.",D37+E37-SUM(F37:J37)+K37-L37)</x:f>
        <x:v>n.b.</x:v>
      </x:c>
      <x:c r="N37" s="12" t="str">
        <x:f>IF(ISNUMBER(M37),MAX(0,'Settings &amp; Assumptions'!$B$25-M37),"n.b.")</x:f>
        <x:v>n.b.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14" t="n">
        <x:f>'Work &amp; Travel Planning'!A38</x:f>
        <x:v>47300</x:v>
      </x:c>
      <x:c r="B38" s="2" t="n">
        <x:f>'Settings &amp; Assumptions'!$G$9</x:f>
        <x:v>1</x:v>
      </x:c>
      <x:c r="C38" s="2" t="n">
        <x:f>'Settings &amp; Assumptions'!$G$10</x:f>
        <x:v>1</x:v>
      </x:c>
      <x:c r="D38" s="12" t="str">
        <x:f>M37</x:f>
        <x:v>n.b.</x:v>
      </x:c>
      <x:c r="E38" s="12" t="str">
        <x:f>IF(NOT(ISNUMBER('Work &amp; Travel Planning'!B38)),"n.b.",'Work &amp; Travel Planning'!B38*'Settings &amp; Assumptions'!$B$16*B38)</x:f>
        <x:v>n.b.</x:v>
      </x:c>
      <x:c r="F38" s="12" t="str">
        <x:f>IF(OR(NOT(ISNUMBER(E38)),COUNT('Settings &amp; Assumptions'!$B$17:'Settings &amp; Assumptions'!$B$18)&lt;2),"n.b.",(E38*'Settings &amp; Assumptions'!$B$17+'Settings &amp; Assumptions'!$B$18)*C38)</x:f>
        <x:v>n.b.</x:v>
      </x:c>
      <x:c r="G38" s="12" t="str">
        <x:f>IF(NOT(ISNUMBER('Work &amp; Travel Planning'!C38)),"n.b.",IF('Work &amp; Travel Planning'!C38=1,'Settings &amp; Assumptions'!$B$24,'Settings &amp; Assumptions'!$B$23))</x:f>
        <x:v>n.b.</x:v>
      </x:c>
      <x:c r="H38" s="12" t="str">
        <x:f>IF(COUNT('Work &amp; Travel Planning'!H38:I38)&lt;2,"n.b.",SUM('Work &amp; Travel Planning'!H38:I38))</x:f>
        <x:v>n.b.</x:v>
      </x:c>
      <x:c r="I38" s="12" t="str">
        <x:f>IF(COUNT('Work &amp; Travel Planning'!E38:F38)&lt;2,"n.b.",SUM('Work &amp; Travel Planning'!E38:F38))</x:f>
        <x:v>n.b.</x:v>
      </x:c>
      <x:c r="J38" s="12" t="str">
        <x:f>IF(NOT(ISNUMBER('Work &amp; Travel Planning'!G38)),"n.b.",'Work &amp; Travel Planning'!G38)</x:f>
        <x:v>n.b.</x:v>
      </x:c>
      <x:c r="K38" s="12" t="str">
        <x:f>IF(NOT(ISNUMBER('Work &amp; Travel Planning'!D38)),"n.b.",'Work &amp; Travel Planning'!D38)</x:f>
        <x:v>n.b.</x:v>
      </x:c>
      <x:c r="L38" s="12" t="str">
        <x:f>IF(NOT(ISNUMBER('Work &amp; Travel Planning'!J38)),"n.b.",'Work &amp; Travel Planning'!J38)</x:f>
        <x:v>n.b.</x:v>
      </x:c>
      <x:c r="M38" s="12" t="str">
        <x:f>IF(COUNT(D38:L38)&lt;9,"n.b.",D38+E38-SUM(F38:J38)+K38-L38)</x:f>
        <x:v>n.b.</x:v>
      </x:c>
      <x:c r="N38" s="12" t="str">
        <x:f>IF(ISNUMBER(M38),MAX(0,'Settings &amp; Assumptions'!$B$25-M38),"n.b.")</x:f>
        <x:v>n.b.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14" t="n">
        <x:f>'Work &amp; Travel Planning'!A39</x:f>
        <x:v>47331</x:v>
      </x:c>
      <x:c r="B39" s="2" t="n">
        <x:f>'Settings &amp; Assumptions'!$G$9</x:f>
        <x:v>1</x:v>
      </x:c>
      <x:c r="C39" s="2" t="n">
        <x:f>'Settings &amp; Assumptions'!$G$10</x:f>
        <x:v>1</x:v>
      </x:c>
      <x:c r="D39" s="12" t="str">
        <x:f>M38</x:f>
        <x:v>n.b.</x:v>
      </x:c>
      <x:c r="E39" s="12" t="str">
        <x:f>IF(NOT(ISNUMBER('Work &amp; Travel Planning'!B39)),"n.b.",'Work &amp; Travel Planning'!B39*'Settings &amp; Assumptions'!$B$16*B39)</x:f>
        <x:v>n.b.</x:v>
      </x:c>
      <x:c r="F39" s="12" t="str">
        <x:f>IF(OR(NOT(ISNUMBER(E39)),COUNT('Settings &amp; Assumptions'!$B$17:'Settings &amp; Assumptions'!$B$18)&lt;2),"n.b.",(E39*'Settings &amp; Assumptions'!$B$17+'Settings &amp; Assumptions'!$B$18)*C39)</x:f>
        <x:v>n.b.</x:v>
      </x:c>
      <x:c r="G39" s="12" t="str">
        <x:f>IF(NOT(ISNUMBER('Work &amp; Travel Planning'!C39)),"n.b.",IF('Work &amp; Travel Planning'!C39=1,'Settings &amp; Assumptions'!$B$24,'Settings &amp; Assumptions'!$B$23))</x:f>
        <x:v>n.b.</x:v>
      </x:c>
      <x:c r="H39" s="12" t="str">
        <x:f>IF(COUNT('Work &amp; Travel Planning'!H39:I39)&lt;2,"n.b.",SUM('Work &amp; Travel Planning'!H39:I39))</x:f>
        <x:v>n.b.</x:v>
      </x:c>
      <x:c r="I39" s="12" t="str">
        <x:f>IF(COUNT('Work &amp; Travel Planning'!E39:F39)&lt;2,"n.b.",SUM('Work &amp; Travel Planning'!E39:F39))</x:f>
        <x:v>n.b.</x:v>
      </x:c>
      <x:c r="J39" s="12" t="str">
        <x:f>IF(NOT(ISNUMBER('Work &amp; Travel Planning'!G39)),"n.b.",'Work &amp; Travel Planning'!G39)</x:f>
        <x:v>n.b.</x:v>
      </x:c>
      <x:c r="K39" s="12" t="str">
        <x:f>IF(NOT(ISNUMBER('Work &amp; Travel Planning'!D39)),"n.b.",'Work &amp; Travel Planning'!D39)</x:f>
        <x:v>n.b.</x:v>
      </x:c>
      <x:c r="L39" s="12" t="str">
        <x:f>IF(NOT(ISNUMBER('Work &amp; Travel Planning'!J39)),"n.b.",'Work &amp; Travel Planning'!J39)</x:f>
        <x:v>n.b.</x:v>
      </x:c>
      <x:c r="M39" s="12" t="str">
        <x:f>IF(COUNT(D39:L39)&lt;9,"n.b.",D39+E39-SUM(F39:J39)+K39-L39)</x:f>
        <x:v>n.b.</x:v>
      </x:c>
      <x:c r="N39" s="12" t="str">
        <x:f>IF(ISNUMBER(M39),MAX(0,'Settings &amp; Assumptions'!$B$25-M39),"n.b.")</x:f>
        <x:v>n.b.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14" t="n">
        <x:f>'Work &amp; Travel Planning'!A40</x:f>
        <x:v>47362</x:v>
      </x:c>
      <x:c r="B40" s="2" t="n">
        <x:f>'Settings &amp; Assumptions'!$G$9</x:f>
        <x:v>1</x:v>
      </x:c>
      <x:c r="C40" s="2" t="n">
        <x:f>'Settings &amp; Assumptions'!$G$10</x:f>
        <x:v>1</x:v>
      </x:c>
      <x:c r="D40" s="12" t="str">
        <x:f>M39</x:f>
        <x:v>n.b.</x:v>
      </x:c>
      <x:c r="E40" s="12" t="str">
        <x:f>IF(NOT(ISNUMBER('Work &amp; Travel Planning'!B40)),"n.b.",'Work &amp; Travel Planning'!B40*'Settings &amp; Assumptions'!$B$16*B40)</x:f>
        <x:v>n.b.</x:v>
      </x:c>
      <x:c r="F40" s="12" t="str">
        <x:f>IF(OR(NOT(ISNUMBER(E40)),COUNT('Settings &amp; Assumptions'!$B$17:'Settings &amp; Assumptions'!$B$18)&lt;2),"n.b.",(E40*'Settings &amp; Assumptions'!$B$17+'Settings &amp; Assumptions'!$B$18)*C40)</x:f>
        <x:v>n.b.</x:v>
      </x:c>
      <x:c r="G40" s="12" t="str">
        <x:f>IF(NOT(ISNUMBER('Work &amp; Travel Planning'!C40)),"n.b.",IF('Work &amp; Travel Planning'!C40=1,'Settings &amp; Assumptions'!$B$24,'Settings &amp; Assumptions'!$B$23))</x:f>
        <x:v>n.b.</x:v>
      </x:c>
      <x:c r="H40" s="12" t="str">
        <x:f>IF(COUNT('Work &amp; Travel Planning'!H40:I40)&lt;2,"n.b.",SUM('Work &amp; Travel Planning'!H40:I40))</x:f>
        <x:v>n.b.</x:v>
      </x:c>
      <x:c r="I40" s="12" t="str">
        <x:f>IF(COUNT('Work &amp; Travel Planning'!E40:F40)&lt;2,"n.b.",SUM('Work &amp; Travel Planning'!E40:F40))</x:f>
        <x:v>n.b.</x:v>
      </x:c>
      <x:c r="J40" s="12" t="str">
        <x:f>IF(NOT(ISNUMBER('Work &amp; Travel Planning'!G40)),"n.b.",'Work &amp; Travel Planning'!G40)</x:f>
        <x:v>n.b.</x:v>
      </x:c>
      <x:c r="K40" s="12" t="str">
        <x:f>IF(NOT(ISNUMBER('Work &amp; Travel Planning'!D40)),"n.b.",'Work &amp; Travel Planning'!D40)</x:f>
        <x:v>n.b.</x:v>
      </x:c>
      <x:c r="L40" s="12" t="str">
        <x:f>IF(NOT(ISNUMBER('Work &amp; Travel Planning'!J40)),"n.b.",'Work &amp; Travel Planning'!J40)</x:f>
        <x:v>n.b.</x:v>
      </x:c>
      <x:c r="M40" s="12" t="str">
        <x:f>IF(COUNT(D40:L40)&lt;9,"n.b.",D40+E40-SUM(F40:J40)+K40-L40)</x:f>
        <x:v>n.b.</x:v>
      </x:c>
      <x:c r="N40" s="12" t="str">
        <x:f>IF(ISNUMBER(M40),MAX(0,'Settings &amp; Assumptions'!$B$25-M40),"n.b.")</x:f>
        <x:v>n.b.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14" t="n">
        <x:f>'Work &amp; Travel Planning'!A41</x:f>
        <x:v>47392</x:v>
      </x:c>
      <x:c r="B41" s="2" t="n">
        <x:f>'Settings &amp; Assumptions'!$G$9</x:f>
        <x:v>1</x:v>
      </x:c>
      <x:c r="C41" s="2" t="n">
        <x:f>'Settings &amp; Assumptions'!$G$10</x:f>
        <x:v>1</x:v>
      </x:c>
      <x:c r="D41" s="12" t="str">
        <x:f>M40</x:f>
        <x:v>n.b.</x:v>
      </x:c>
      <x:c r="E41" s="12" t="str">
        <x:f>IF(NOT(ISNUMBER('Work &amp; Travel Planning'!B41)),"n.b.",'Work &amp; Travel Planning'!B41*'Settings &amp; Assumptions'!$B$16*B41)</x:f>
        <x:v>n.b.</x:v>
      </x:c>
      <x:c r="F41" s="12" t="str">
        <x:f>IF(OR(NOT(ISNUMBER(E41)),COUNT('Settings &amp; Assumptions'!$B$17:'Settings &amp; Assumptions'!$B$18)&lt;2),"n.b.",(E41*'Settings &amp; Assumptions'!$B$17+'Settings &amp; Assumptions'!$B$18)*C41)</x:f>
        <x:v>n.b.</x:v>
      </x:c>
      <x:c r="G41" s="12" t="str">
        <x:f>IF(NOT(ISNUMBER('Work &amp; Travel Planning'!C41)),"n.b.",IF('Work &amp; Travel Planning'!C41=1,'Settings &amp; Assumptions'!$B$24,'Settings &amp; Assumptions'!$B$23))</x:f>
        <x:v>n.b.</x:v>
      </x:c>
      <x:c r="H41" s="12" t="str">
        <x:f>IF(COUNT('Work &amp; Travel Planning'!H41:I41)&lt;2,"n.b.",SUM('Work &amp; Travel Planning'!H41:I41))</x:f>
        <x:v>n.b.</x:v>
      </x:c>
      <x:c r="I41" s="12" t="str">
        <x:f>IF(COUNT('Work &amp; Travel Planning'!E41:F41)&lt;2,"n.b.",SUM('Work &amp; Travel Planning'!E41:F41))</x:f>
        <x:v>n.b.</x:v>
      </x:c>
      <x:c r="J41" s="12" t="str">
        <x:f>IF(NOT(ISNUMBER('Work &amp; Travel Planning'!G41)),"n.b.",'Work &amp; Travel Planning'!G41)</x:f>
        <x:v>n.b.</x:v>
      </x:c>
      <x:c r="K41" s="12" t="str">
        <x:f>IF(NOT(ISNUMBER('Work &amp; Travel Planning'!D41)),"n.b.",'Work &amp; Travel Planning'!D41)</x:f>
        <x:v>n.b.</x:v>
      </x:c>
      <x:c r="L41" s="12" t="str">
        <x:f>IF(NOT(ISNUMBER('Work &amp; Travel Planning'!J41)),"n.b.",'Work &amp; Travel Planning'!J41)</x:f>
        <x:v>n.b.</x:v>
      </x:c>
      <x:c r="M41" s="12" t="str">
        <x:f>IF(COUNT(D41:L41)&lt;9,"n.b.",D41+E41-SUM(F41:J41)+K41-L41)</x:f>
        <x:v>n.b.</x:v>
      </x:c>
      <x:c r="N41" s="12" t="str">
        <x:f>IF(ISNUMBER(M41),MAX(0,'Settings &amp; Assumptions'!$B$25-M41),"n.b.")</x:f>
        <x:v>n.b.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 t="str">
        <x:v>Cash na 12 maanden</x:v>
      </x:c>
      <x:c r="B45" s="2"/>
      <x:c r="C45" s="2"/>
      <x:c r="D45" s="2"/>
      <x:c r="E45" s="16" t="str">
        <x:f>M17</x:f>
        <x:v>n.b.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 t="str">
        <x:v>Cash na 24 maanden</x:v>
      </x:c>
      <x:c r="B46" s="2"/>
      <x:c r="C46" s="2"/>
      <x:c r="D46" s="2"/>
      <x:c r="E46" s="16" t="str">
        <x:f>M29</x:f>
        <x:v>n.b.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 t="str">
        <x:v>Cash na 36 maanden</x:v>
      </x:c>
      <x:c r="B47" s="2"/>
      <x:c r="C47" s="2"/>
      <x:c r="D47" s="2"/>
      <x:c r="E47" s="16" t="str">
        <x:f>M41</x:f>
        <x:v>n.b.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32" customHeight="1">
      <x:c r="A50" s="5" t="str">
        <x:v>Vergelijk scenario’s met de centrale selector in Instellingen. Alle 12-, 24- en 36-maandsuitkomsten en de grafiek rekenen live opnieuw. Geen fictieve kansen of statische scenario-uitkomsten.</x:v>
      </x:c>
      <x:c r="B50" s="5" t="str">
        <x:v>Vergelijk scenario’s met de centrale selector in Instellingen. Alle 12-, 24- en 36-maandsuitkomsten en de grafiek rekenen live opnieuw. Geen fictieve kansen of statische scenario-uitkomsten.</x:v>
      </x:c>
      <x:c r="C50" s="5" t="str">
        <x:v>Vergelijk scenario’s met de centrale selector in Instellingen. Alle 12-, 24- en 36-maandsuitkomsten en de grafiek rekenen live opnieuw. Geen fictieve kansen of statische scenario-uitkomsten.</x:v>
      </x:c>
      <x:c r="D50" s="5" t="str">
        <x:v>Vergelijk scenario’s met de centrale selector in Instellingen. Alle 12-, 24- en 36-maandsuitkomsten en de grafiek rekenen live opnieuw. Geen fictieve kansen of statische scenario-uitkomsten.</x:v>
      </x:c>
      <x:c r="E50" s="5" t="str">
        <x:v>Vergelijk scenario’s met de centrale selector in Instellingen. Alle 12-, 24- en 36-maandsuitkomsten en de grafiek rekenen live opnieuw. Geen fictieve kansen of statische scenario-uitkomsten.</x:v>
      </x:c>
      <x:c r="F50" s="5" t="str">
        <x:v>Vergelijk scenario’s met de centrale selector in Instellingen. Alle 12-, 24- en 36-maandsuitkomsten en de grafiek rekenen live opnieuw. Geen fictieve kansen of statische scenario-uitkomsten.</x:v>
      </x:c>
      <x:c r="G50" s="5" t="str">
        <x:v>Vergelijk scenario’s met de centrale selector in Instellingen. Alle 12-, 24- en 36-maandsuitkomsten en de grafiek rekenen live opnieuw. Geen fictieve kansen of statische scenario-uitkomsten.</x:v>
      </x:c>
      <x:c r="H50" s="5" t="str">
        <x:v>Vergelijk scenario’s met de centrale selector in Instellingen. Alle 12-, 24- en 36-maandsuitkomsten en de grafiek rekenen live opnieuw. Geen fictieve kansen of statische scenario-uitkomsten.</x:v>
      </x:c>
      <x:c r="I50" s="5" t="str">
        <x:v>Vergelijk scenario’s met de centrale selector in Instellingen. Alle 12-, 24- en 36-maandsuitkomsten en de grafiek rekenen live opnieuw. Geen fictieve kansen of statische scenario-uitkomsten.</x:v>
      </x:c>
      <x:c r="J50" s="5" t="str">
        <x:v>Vergelijk scenario’s met de centrale selector in Instellingen. Alle 12-, 24- en 36-maandsuitkomsten en de grafiek rekenen live opnieuw. Geen fictieve kansen of statische scenario-uitkomsten.</x:v>
      </x:c>
      <x:c r="K50" s="5" t="str">
        <x:v>Vergelijk scenario’s met de centrale selector in Instellingen. Alle 12-, 24- en 36-maandsuitkomsten en de grafiek rekenen live opnieuw. Geen fictieve kansen of statische scenario-uitkomsten.</x:v>
      </x:c>
      <x:c r="L50" s="5" t="str">
        <x:v>Vergelijk scenario’s met de centrale selector in Instellingen. Alle 12-, 24- en 36-maandsuitkomsten en de grafiek rekenen live opnieuw. Geen fictieve kansen of statische scenario-uitkomsten.</x:v>
      </x:c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45:D45"/>
    <x:mergeCell ref="E45:G45"/>
    <x:mergeCell ref="A46:D46"/>
    <x:mergeCell ref="E46:G46"/>
    <x:mergeCell ref="A47:D47"/>
    <x:mergeCell ref="E47:G47"/>
    <x:mergeCell ref="A50:L50"/>
    <x:mergeCell ref="N2:P2"/>
  </x:mergeCells>
  <x:conditionalFormatting sqref="N6:N41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36c4b35f6e491f"/>
  </x:tableParts>
</x:worksheet>
</file>

<file path=xl/worksheets/sheet17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Vermogen en besteedbare cash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Spaargeld staat in Accounts. Voeg hier uitsluitend niet-contante activa en nog niet elders opgenomen schulden toe.</x:v>
      </x:c>
      <x:c r="B3" s="5" t="str">
        <x:v>Spaargeld staat in Accounts. Voeg hier uitsluitend niet-contante activa en nog niet elders opgenomen schulden toe.</x:v>
      </x:c>
      <x:c r="C3" s="5" t="str">
        <x:v>Spaargeld staat in Accounts. Voeg hier uitsluitend niet-contante activa en nog niet elders opgenomen schulden toe.</x:v>
      </x:c>
      <x:c r="D3" s="5" t="str">
        <x:v>Spaargeld staat in Accounts. Voeg hier uitsluitend niet-contante activa en nog niet elders opgenomen schulden toe.</x:v>
      </x:c>
      <x:c r="E3" s="5" t="str">
        <x:v>Spaargeld staat in Accounts. Voeg hier uitsluitend niet-contante activa en nog niet elders opgenomen schulden toe.</x:v>
      </x:c>
      <x:c r="F3" s="5" t="str">
        <x:v>Spaargeld staat in Accounts. Voeg hier uitsluitend niet-contante activa en nog niet elders opgenomen schulden toe.</x:v>
      </x:c>
      <x:c r="G3" s="5" t="str">
        <x:v>Spaargeld staat in Accounts. Voeg hier uitsluitend niet-contante activa en nog niet elders opgenomen schulden toe.</x:v>
      </x:c>
      <x:c r="H3" s="5" t="str">
        <x:v>Spaargeld staat in Accounts. Voeg hier uitsluitend niet-contante activa en nog niet elders opgenomen schulden toe.</x:v>
      </x:c>
      <x:c r="I3" s="5" t="str">
        <x:v>Spaargeld staat in Accounts. Voeg hier uitsluitend niet-contante activa en nog niet elders opgenomen schulden toe.</x:v>
      </x:c>
      <x:c r="J3" s="5" t="str">
        <x:v>Spaargeld staat in Accounts. Voeg hier uitsluitend niet-contante activa en nog niet elders opgenomen schulden toe.</x:v>
      </x:c>
      <x:c r="K3" s="5" t="str">
        <x:v>Spaargeld staat in Accounts. Voeg hier uitsluitend niet-contante activa en nog niet elders opgenomen schulden toe.</x:v>
      </x:c>
      <x:c r="L3" s="5" t="str">
        <x:v>Spaargeld staat in Accounts. Voeg hier uitsluitend niet-contante activa en nog niet elders opgenomen schulden toe.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Bank- en spaarsaldi totaal</x:v>
      </x:c>
      <x:c r="B6" s="2"/>
      <x:c r="C6" s="2"/>
      <x:c r="D6" s="2"/>
      <x:c r="E6" s="16" t="str">
        <x:f>IF(OR('Settings &amp; Assumptions'!$G$13&lt;&gt;1,COUNTIFS(Accounts[include],1)=0),"n.b.",SUMIFS(Accounts[closing],Accounts[include],1,Accounts[currency],"EUR"))</x:f>
        <x:v>n.b.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Privérekeningen</x:v>
      </x:c>
      <x:c r="B7" s="2"/>
      <x:c r="C7" s="2"/>
      <x:c r="D7" s="2"/>
      <x:c r="E7" s="16" t="str">
        <x:f>IF('Settings &amp; Assumptions'!$G$13&lt;&gt;1,"n.b.",SUMIFS(Accounts[closing],Accounts[type],"private",Accounts[include],1,Accounts[currency],"EUR"))</x:f>
        <x:v>n.b.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Zakelijke rekeningen</x:v>
      </x:c>
      <x:c r="B8" s="2"/>
      <x:c r="C8" s="2"/>
      <x:c r="D8" s="2"/>
      <x:c r="E8" s="16" t="str">
        <x:f>IF('Settings &amp; Assumptions'!$G$13&lt;&gt;1,"n.b.",SUMIFS(Accounts[closing],Accounts[type],"business",Accounts[include],1,Accounts[currency],"EUR"))</x:f>
        <x:v>n.b.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Niet-contante activa</x:v>
      </x:c>
      <x:c r="B9" s="2"/>
      <x:c r="C9" s="2"/>
      <x:c r="D9" s="2"/>
      <x:c r="E9" s="16" t="str">
        <x:f>IF(COUNT(C26:C31)&lt;6,"n.b.",SUM(C26:C31))</x:f>
        <x:v>n.b.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Overige schulden</x:v>
      </x:c>
      <x:c r="B10" s="2"/>
      <x:c r="C10" s="2"/>
      <x:c r="D10" s="2"/>
      <x:c r="E10" s="16" t="str">
        <x:f>IF(COUNT(C35:C38)&lt;4,"n.b.",SUM(C35:C38))</x:f>
        <x:v>n.b.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Openstaande klanten</x:v>
      </x:c>
      <x:c r="B11" s="2"/>
      <x:c r="C11" s="2"/>
      <x:c r="D11" s="2"/>
      <x:c r="E11" s="16" t="str">
        <x:f>'Business Overview'!E13</x:f>
        <x:v>n.b.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Openstaande leveranciers</x:v>
      </x:c>
      <x:c r="B12" s="2"/>
      <x:c r="C12" s="2"/>
      <x:c r="D12" s="2"/>
      <x:c r="E12" s="16" t="str">
        <x:f>'Business Overview'!E18</x:f>
        <x:v>n.b.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Belastingverplichtingen</x:v>
      </x:c>
      <x:c r="B13" s="2"/>
      <x:c r="C13" s="2"/>
      <x:c r="D13" s="2"/>
      <x:c r="E13" s="16" t="str">
        <x:f>'Dutch Taxes'!E18</x:f>
        <x:v>n.b.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Unieke cashreserveringen</x:v>
      </x:c>
      <x:c r="B14" s="2"/>
      <x:c r="C14" s="2"/>
      <x:c r="D14" s="2"/>
      <x:c r="E14" s="16" t="str">
        <x:f>IF(OR(COUNT('Financial Goals'!C6:C10)&lt;5,NOT(ISNUMBER('Settings &amp; Assumptions'!$B$26))),"n.b.",SUM('Financial Goals'!C6:C10)+'Settings &amp; Assumptions'!$B$26)</x:f>
        <x:v>n.b.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Vrij besteedbare cash</x:v>
      </x:c>
      <x:c r="B15" s="2"/>
      <x:c r="C15" s="2"/>
      <x:c r="D15" s="2"/>
      <x:c r="E15" s="16" t="str">
        <x:f>IF(OR('Settings &amp; Assumptions'!$B$12&lt;&gt;1,COUNT(E6,E10,E12:E14)&lt;5),"n.b.",E6-E10-E12-E13-E14)</x:f>
        <x:v>n.b.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Nettovermogen</x:v>
      </x:c>
      <x:c r="B16" s="2"/>
      <x:c r="C16" s="2"/>
      <x:c r="D16" s="2"/>
      <x:c r="E16" s="16" t="str">
        <x:f>IF(COUNT(E6,E9:E13)&lt;6,"n.b.",E6+E9+E11-E10-E12-E13)</x:f>
        <x:v>n.b.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40" customHeight="1">
      <x:c r="A25" s="8" t="str">
        <x:v>Soort</x:v>
      </x:c>
      <x:c r="B25" s="8" t="str">
        <x:v>Omschrijving</x:v>
      </x:c>
      <x:c r="C25" s="8" t="str">
        <x:v>Waarde</x:v>
      </x:c>
      <x:c r="D25" s="8" t="str">
        <x:v>Waarderingsdatum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 t="str">
        <x:v>Beleggingen</x:v>
      </x:c>
      <x:c r="B26" s="2" t="str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 t="str">
        <x:v>Voertuig</x:v>
      </x:c>
      <x:c r="B27" s="2" t="str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 t="str">
        <x:v>Gereedschap</x:v>
      </x:c>
      <x:c r="B28" s="2" t="str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 t="str">
        <x:v>Vastgoed</x:v>
      </x:c>
      <x:c r="B29" s="2" t="str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 t="str">
        <x:v>Overige activa</x:v>
      </x:c>
      <x:c r="B30" s="2" t="str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 t="str">
        <x:v>Overige vorderingen</x:v>
      </x:c>
      <x:c r="B31" s="2" t="str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40" customHeight="1">
      <x:c r="A34" s="8" t="str">
        <x:v>Soort</x:v>
      </x:c>
      <x:c r="B34" s="8" t="str">
        <x:v>Omschrijving</x:v>
      </x:c>
      <x:c r="C34" s="8" t="str">
        <x:v>Openstaand</x:v>
      </x:c>
      <x:c r="D34" s="8" t="str">
        <x:v>Peildatum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 t="str">
        <x:v>Leningen</x:v>
      </x:c>
      <x:c r="B35" s="2" t="str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 t="str">
        <x:v>Krediet</x:v>
      </x:c>
      <x:c r="B36" s="2" t="str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 t="str">
        <x:v>Voertuigfinanciering</x:v>
      </x:c>
      <x:c r="B37" s="2" t="str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 t="str">
        <x:v>Overige schulden</x:v>
      </x:c>
      <x:c r="B38" s="2" t="str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32" customHeight="1">
      <x:c r="A41" s="5" t="str">
        <x:v>Vrije cash trekt conservatief alle openstaande schulden af. Nettovermogen trekt spaardoelen niet af: gereserveerd geld blijft bezit.</x:v>
      </x:c>
      <x:c r="B41" s="5" t="str">
        <x:v>Vrije cash trekt conservatief alle openstaande schulden af. Nettovermogen trekt spaardoelen niet af: gereserveerd geld blijft bezit.</x:v>
      </x:c>
      <x:c r="C41" s="5" t="str">
        <x:v>Vrije cash trekt conservatief alle openstaande schulden af. Nettovermogen trekt spaardoelen niet af: gereserveerd geld blijft bezit.</x:v>
      </x:c>
      <x:c r="D41" s="5" t="str">
        <x:v>Vrije cash trekt conservatief alle openstaande schulden af. Nettovermogen trekt spaardoelen niet af: gereserveerd geld blijft bezit.</x:v>
      </x:c>
      <x:c r="E41" s="5" t="str">
        <x:v>Vrije cash trekt conservatief alle openstaande schulden af. Nettovermogen trekt spaardoelen niet af: gereserveerd geld blijft bezit.</x:v>
      </x:c>
      <x:c r="F41" s="5" t="str">
        <x:v>Vrije cash trekt conservatief alle openstaande schulden af. Nettovermogen trekt spaardoelen niet af: gereserveerd geld blijft bezit.</x:v>
      </x:c>
      <x:c r="G41" s="5" t="str">
        <x:v>Vrije cash trekt conservatief alle openstaande schulden af. Nettovermogen trekt spaardoelen niet af: gereserveerd geld blijft bezit.</x:v>
      </x:c>
      <x:c r="H41" s="5" t="str">
        <x:v>Vrije cash trekt conservatief alle openstaande schulden af. Nettovermogen trekt spaardoelen niet af: gereserveerd geld blijft bezit.</x:v>
      </x:c>
      <x:c r="I41" s="5" t="str">
        <x:v>Vrije cash trekt conservatief alle openstaande schulden af. Nettovermogen trekt spaardoelen niet af: gereserveerd geld blijft bezit.</x:v>
      </x:c>
      <x:c r="J41" s="5" t="str">
        <x:v>Vrije cash trekt conservatief alle openstaande schulden af. Nettovermogen trekt spaardoelen niet af: gereserveerd geld blijft bezit.</x:v>
      </x:c>
      <x:c r="K41" s="5" t="str">
        <x:v>Vrije cash trekt conservatief alle openstaande schulden af. Nettovermogen trekt spaardoelen niet af: gereserveerd geld blijft bezit.</x:v>
      </x:c>
      <x:c r="L41" s="5" t="str">
        <x:v>Vrije cash trekt conservatief alle openstaande schulden af. Nettovermogen trekt spaardoelen niet af: gereserveerd geld blijft bezit.</x:v>
      </x:c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6:D6"/>
    <x:mergeCell ref="E6:G6"/>
    <x:mergeCell ref="A7:D7"/>
    <x:mergeCell ref="E7:G7"/>
    <x:mergeCell ref="A8:D8"/>
    <x:mergeCell ref="E8:G8"/>
    <x:mergeCell ref="A9:D9"/>
    <x:mergeCell ref="E9:G9"/>
    <x:mergeCell ref="A10:D10"/>
    <x:mergeCell ref="E10:G10"/>
    <x:mergeCell ref="A11:D11"/>
    <x:mergeCell ref="E11:G11"/>
    <x:mergeCell ref="A12:D12"/>
    <x:mergeCell ref="E12:G12"/>
    <x:mergeCell ref="A13:D13"/>
    <x:mergeCell ref="E13:G13"/>
    <x:mergeCell ref="A14:D14"/>
    <x:mergeCell ref="E14:G14"/>
    <x:mergeCell ref="A15:D15"/>
    <x:mergeCell ref="E15:G15"/>
    <x:mergeCell ref="A16:D16"/>
    <x:mergeCell ref="E16:G16"/>
    <x:mergeCell ref="A41:L41"/>
    <x:mergeCell ref="N2:P2"/>
  </x:mergeCells>
  <x:pageMargins left="0.7" right="0.7" top="0.75" bottom="0.75" header="0.3" footer="0.3"/>
  <x:tableParts count="2">
    <x:tablePart xmlns:r="http://schemas.openxmlformats.org/officeDocument/2006/relationships" r:id="R489542718ccd4a26"/>
    <x:tablePart xmlns:r="http://schemas.openxmlformats.org/officeDocument/2006/relationships" r:id="R3e65a6f1d99944ff"/>
  </x:tableParts>
</x:worksheet>
</file>

<file path=xl/worksheets/sheet18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Maandrapporten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Alleen complete bronperioden tonen cijfers. Winst is factuuromzet minus geboekte kosten; cashflow volgt bankmutaties.</x:v>
      </x:c>
      <x:c r="B3" s="5" t="str">
        <x:v>Alleen complete bronperioden tonen cijfers. Winst is factuuromzet minus geboekte kosten; cashflow volgt bankmutaties.</x:v>
      </x:c>
      <x:c r="C3" s="5" t="str">
        <x:v>Alleen complete bronperioden tonen cijfers. Winst is factuuromzet minus geboekte kosten; cashflow volgt bankmutaties.</x:v>
      </x:c>
      <x:c r="D3" s="5" t="str">
        <x:v>Alleen complete bronperioden tonen cijfers. Winst is factuuromzet minus geboekte kosten; cashflow volgt bankmutaties.</x:v>
      </x:c>
      <x:c r="E3" s="5" t="str">
        <x:v>Alleen complete bronperioden tonen cijfers. Winst is factuuromzet minus geboekte kosten; cashflow volgt bankmutaties.</x:v>
      </x:c>
      <x:c r="F3" s="5" t="str">
        <x:v>Alleen complete bronperioden tonen cijfers. Winst is factuuromzet minus geboekte kosten; cashflow volgt bankmutaties.</x:v>
      </x:c>
      <x:c r="G3" s="5" t="str">
        <x:v>Alleen complete bronperioden tonen cijfers. Winst is factuuromzet minus geboekte kosten; cashflow volgt bankmutaties.</x:v>
      </x:c>
      <x:c r="H3" s="5" t="str">
        <x:v>Alleen complete bronperioden tonen cijfers. Winst is factuuromzet minus geboekte kosten; cashflow volgt bankmutaties.</x:v>
      </x:c>
      <x:c r="I3" s="5" t="str">
        <x:v>Alleen complete bronperioden tonen cijfers. Winst is factuuromzet minus geboekte kosten; cashflow volgt bankmutaties.</x:v>
      </x:c>
      <x:c r="J3" s="5" t="str">
        <x:v>Alleen complete bronperioden tonen cijfers. Winst is factuuromzet minus geboekte kosten; cashflow volgt bankmutaties.</x:v>
      </x:c>
      <x:c r="K3" s="5" t="str">
        <x:v>Alleen complete bronperioden tonen cijfers. Winst is factuuromzet minus geboekte kosten; cashflow volgt bankmutaties.</x:v>
      </x:c>
      <x:c r="L3" s="5" t="str">
        <x:v>Alleen complete bronperioden tonen cijfers. Winst is factuuromzet minus geboekte kosten; cashflow volgt bankmutaties.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Maand</x:v>
      </x:c>
      <x:c r="B5" s="8" t="str">
        <x:v>Omzet excl. btw</x:v>
      </x:c>
      <x:c r="C5" s="8" t="str">
        <x:v>Kosten excl. btw</x:v>
      </x:c>
      <x:c r="D5" s="8" t="str">
        <x:v>Operationele winst</x:v>
      </x:c>
      <x:c r="E5" s="8" t="str">
        <x:v>Privé-uitgaven</x:v>
      </x:c>
      <x:c r="F5" s="8" t="str">
        <x:v>Netto bankmutaties</x:v>
      </x:c>
      <x:c r="G5" s="8" t="str">
        <x:v>Marge</x:v>
      </x:c>
      <x:c r="H5" s="8" t="str">
        <x:v>Beginsaldo</x:v>
      </x:c>
      <x:c r="I5" s="8" t="str">
        <x:v>Eindsaldo</x:v>
      </x:c>
      <x:c r="J5" s="8" t="str">
        <x:v>Nettovermogen</x:v>
      </x:c>
      <x:c r="K5" s="8" t="str">
        <x:v>Werkdagen</x:v>
      </x:c>
      <x:c r="L5" s="8" t="str">
        <x:v>Uren</x:v>
      </x:c>
      <x:c r="M5" s="8" t="str">
        <x:v>Omzet / dag</x:v>
      </x:c>
      <x:c r="N5" s="8" t="str">
        <x:v>Omzet / uur</x:v>
      </x:c>
      <x:c r="O5" s="8" t="str">
        <x:v>Maandlabel</x:v>
      </x:c>
      <x:c r="P5" s="2" t="str">
        <x:v>Privé cashsparen</x:v>
      </x:c>
      <x:c r="Q5" s="2" t="str">
        <x:v>Privé beschikbaar</x:v>
      </x:c>
      <x:c r="R5" s="2" t="str">
        <x:v>Spaarquote</x:v>
      </x:c>
      <x:c r="S5" s="2" t="str">
        <x:v>Opbouw cashsparen</x:v>
      </x:c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14" t="n">
        <x:v>45962</x:v>
      </x:c>
      <x:c r="B6" s="12" t="str">
        <x:f>IF(OR('Settings &amp; Assumptions'!$G$14&lt;&gt;1,A6&gt;'Settings &amp; Assumptions'!$B$6),"n.b.",SUMIFS(Invoices[amount_excl],Invoices[date],"&gt;="&amp;A6,Invoices[date],"&lt;"&amp;MIN(EDATE(A6,1),'Settings &amp; Assumptions'!$B$6+1),Invoices[status],"&lt;&gt;concept",Invoices[status],"&lt;&gt;geannuleerd"))</x:f>
        <x:v>n.b.</x:v>
      </x:c>
      <x:c r="C6" s="12" t="str">
        <x:f>IF(OR('Settings &amp; Assumptions'!$G$15&lt;&gt;1,A6&gt;'Settings &amp; Assumptions'!$B$6),"n.b.",SUMIFS(Expenses[amount_excl],Expenses[date],"&gt;="&amp;A6,Expenses[date],"&lt;"&amp;MIN(EDATE(A6,1),'Settings &amp; Assumptions'!$B$6+1),Expenses[capital_asset],"no"))</x:f>
        <x:v>n.b.</x:v>
      </x:c>
      <x:c r="D6" s="12" t="str">
        <x:f>IF(COUNT(B6:C6)&lt;2,"n.b.",B6-C6)</x:f>
        <x:v>n.b.</x:v>
      </x:c>
      <x:c r="E6" s="12" t="str">
        <x:f>IF(OR('Settings &amp; Assumptions'!$G$13&lt;&gt;1,A6&gt;'Settings &amp; Assumptions'!$B$6,'Settings &amp; Assumptions'!$B$13&gt;A6,'Settings &amp; Assumptions'!$B$14&lt;MIN(EDATE(A6,1)-1,'Settings &amp; Assumptions'!$B$6),NOT(ISNUMBER('Settings &amp; Assumptions'!$B$13)),NOT(ISNUMBER('Settings &amp; Assumptions'!$B$14))),"n.b.",-SUMIFS(Transactions[amount],Transactions[include_in_totals],1,Transactions[booking_date],"&gt;="&amp;A6,Transactions[booking_date],"&lt;"&amp;MIN(EDATE(A6,1),'Settings &amp; Assumptions'!$B$6+1),Transactions[classification],"private",Transactions[amount],"&lt;0",Transactions[currency],"EUR",Transactions[duplicate_status],""))</x:f>
        <x:v>n.b.</x:v>
      </x:c>
      <x:c r="F6" s="12" t="str">
        <x:f>IF(OR('Settings &amp; Assumptions'!$G$13&lt;&gt;1,A6&gt;'Settings &amp; Assumptions'!$B$6,'Settings &amp; Assumptions'!$B$13&gt;A6,'Settings &amp; Assumptions'!$B$14&lt;MIN(EDATE(A6,1)-1,'Settings &amp; Assumptions'!$B$6),NOT(ISNUMBER('Settings &amp; Assumptions'!$B$13)),NOT(ISNUMBER('Settings &amp; Assumptions'!$B$14))),"n.b.",SUMIFS(Transactions[amount],Transactions[include_in_totals],1,Transactions[booking_date],"&gt;="&amp;A6,Transactions[booking_date],"&lt;"&amp;MIN(EDATE(A6,1),'Settings &amp; Assumptions'!$B$6+1),Transactions[currency],"EUR",Transactions[duplicate_status],""))</x:f>
        <x:v>n.b.</x:v>
      </x:c>
      <x:c r="G6" s="15" t="str">
        <x:f>IF(COUNT(B6,D6)&lt;2,"n.b.",IF(B6=0,"n.b.",D6/B6))</x:f>
        <x:v>n.b.</x:v>
      </x:c>
      <x:c r="H6" s="2"/>
      <x:c r="I6" s="2"/>
      <x:c r="J6" s="2"/>
      <x:c r="K6" s="2"/>
      <x:c r="L6" s="2"/>
      <x:c r="M6" s="2" t="str">
        <x:f>IF(OR(NOT(ISNUMBER(B6)),K6="",K6&lt;=0),"n.b.",B6/K6)</x:f>
        <x:v>n.b.</x:v>
      </x:c>
      <x:c r="N6" s="2" t="str">
        <x:f>IF(OR(NOT(ISNUMBER(B6)),L6="",L6&lt;=0),"n.b.",B6/L6)</x:f>
        <x:v>n.b.</x:v>
      </x:c>
      <x:c r="O6" s="2" t="str">
        <x:f>TEXT(A6,"mmm yy")</x:f>
        <x:v>Nov 25</x:v>
      </x:c>
      <x:c r="P6" s="2" t="str">
        <x:f>IF(NOT(ISNUMBER(E6)),"n.b.",SUMIFS(Transactions[amount],Transactions[include_in_totals],1,Transactions[account_type],"private",Transactions[booking_date],"&gt;="&amp;A6,Transactions[booking_date],"&lt;"&amp;EDATE(A6,1),Transactions[currency],"EUR",Transactions[duplicate_status],""))</x:f>
        <x:v>n.b.</x:v>
      </x:c>
      <x:c r="Q6" s="2" t="str">
        <x:f>IF(COUNT(P6,E6)&lt;2,"n.b.",P6+E6)</x:f>
        <x:v>n.b.</x:v>
      </x:c>
      <x:c r="R6" s="15" t="str">
        <x:f>IF(OR(NOT(ISNUMBER(Q6)),Q6&lt;=0),"n.b.",P6/Q6)</x:f>
        <x:v>n.b.</x:v>
      </x:c>
      <x:c r="S6" s="2" t="str">
        <x:f>IF(ISNUMBER(P6),P6,"n.b.")</x:f>
        <x:v>n.b.</x:v>
      </x:c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14" t="n">
        <x:v>45992</x:v>
      </x:c>
      <x:c r="B7" s="12" t="str">
        <x:f>IF(OR('Settings &amp; Assumptions'!$G$14&lt;&gt;1,A7&gt;'Settings &amp; Assumptions'!$B$6),"n.b.",SUMIFS(Invoices[amount_excl],Invoices[date],"&gt;="&amp;A7,Invoices[date],"&lt;"&amp;MIN(EDATE(A7,1),'Settings &amp; Assumptions'!$B$6+1),Invoices[status],"&lt;&gt;concept",Invoices[status],"&lt;&gt;geannuleerd"))</x:f>
        <x:v>n.b.</x:v>
      </x:c>
      <x:c r="C7" s="12" t="str">
        <x:f>IF(OR('Settings &amp; Assumptions'!$G$15&lt;&gt;1,A7&gt;'Settings &amp; Assumptions'!$B$6),"n.b.",SUMIFS(Expenses[amount_excl],Expenses[date],"&gt;="&amp;A7,Expenses[date],"&lt;"&amp;MIN(EDATE(A7,1),'Settings &amp; Assumptions'!$B$6+1),Expenses[capital_asset],"no"))</x:f>
        <x:v>n.b.</x:v>
      </x:c>
      <x:c r="D7" s="12" t="str">
        <x:f>IF(COUNT(B7:C7)&lt;2,"n.b.",B7-C7)</x:f>
        <x:v>n.b.</x:v>
      </x:c>
      <x:c r="E7" s="12" t="str">
        <x:f>IF(OR('Settings &amp; Assumptions'!$G$13&lt;&gt;1,A7&gt;'Settings &amp; Assumptions'!$B$6,'Settings &amp; Assumptions'!$B$13&gt;A7,'Settings &amp; Assumptions'!$B$14&lt;MIN(EDATE(A7,1)-1,'Settings &amp; Assumptions'!$B$6),NOT(ISNUMBER('Settings &amp; Assumptions'!$B$13)),NOT(ISNUMBER('Settings &amp; Assumptions'!$B$14))),"n.b.",-SUMIFS(Transactions[amount],Transactions[include_in_totals],1,Transactions[booking_date],"&gt;="&amp;A7,Transactions[booking_date],"&lt;"&amp;MIN(EDATE(A7,1),'Settings &amp; Assumptions'!$B$6+1),Transactions[classification],"private",Transactions[amount],"&lt;0",Transactions[currency],"EUR",Transactions[duplicate_status],""))</x:f>
        <x:v>n.b.</x:v>
      </x:c>
      <x:c r="F7" s="12" t="str">
        <x:f>IF(OR('Settings &amp; Assumptions'!$G$13&lt;&gt;1,A7&gt;'Settings &amp; Assumptions'!$B$6,'Settings &amp; Assumptions'!$B$13&gt;A7,'Settings &amp; Assumptions'!$B$14&lt;MIN(EDATE(A7,1)-1,'Settings &amp; Assumptions'!$B$6),NOT(ISNUMBER('Settings &amp; Assumptions'!$B$13)),NOT(ISNUMBER('Settings &amp; Assumptions'!$B$14))),"n.b.",SUMIFS(Transactions[amount],Transactions[include_in_totals],1,Transactions[booking_date],"&gt;="&amp;A7,Transactions[booking_date],"&lt;"&amp;MIN(EDATE(A7,1),'Settings &amp; Assumptions'!$B$6+1),Transactions[currency],"EUR",Transactions[duplicate_status],""))</x:f>
        <x:v>n.b.</x:v>
      </x:c>
      <x:c r="G7" s="15" t="str">
        <x:f>IF(COUNT(B7,D7)&lt;2,"n.b.",IF(B7=0,"n.b.",D7/B7))</x:f>
        <x:v>n.b.</x:v>
      </x:c>
      <x:c r="H7" s="2"/>
      <x:c r="I7" s="2"/>
      <x:c r="J7" s="2"/>
      <x:c r="K7" s="2"/>
      <x:c r="L7" s="2"/>
      <x:c r="M7" s="2" t="str">
        <x:f>IF(OR(NOT(ISNUMBER(B7)),K7="",K7&lt;=0),"n.b.",B7/K7)</x:f>
        <x:v>n.b.</x:v>
      </x:c>
      <x:c r="N7" s="2" t="str">
        <x:f>IF(OR(NOT(ISNUMBER(B7)),L7="",L7&lt;=0),"n.b.",B7/L7)</x:f>
        <x:v>n.b.</x:v>
      </x:c>
      <x:c r="O7" s="2" t="str">
        <x:f>TEXT(A7,"mmm yy")</x:f>
        <x:v>Dec 25</x:v>
      </x:c>
      <x:c r="P7" s="2" t="str">
        <x:f>IF(NOT(ISNUMBER(E7)),"n.b.",SUMIFS(Transactions[amount],Transactions[include_in_totals],1,Transactions[account_type],"private",Transactions[booking_date],"&gt;="&amp;A7,Transactions[booking_date],"&lt;"&amp;EDATE(A7,1),Transactions[currency],"EUR",Transactions[duplicate_status],""))</x:f>
        <x:v>n.b.</x:v>
      </x:c>
      <x:c r="Q7" s="2" t="str">
        <x:f>IF(COUNT(P7,E7)&lt;2,"n.b.",P7+E7)</x:f>
        <x:v>n.b.</x:v>
      </x:c>
      <x:c r="R7" s="15" t="str">
        <x:f>IF(OR(NOT(ISNUMBER(Q7)),Q7&lt;=0),"n.b.",P7/Q7)</x:f>
        <x:v>n.b.</x:v>
      </x:c>
      <x:c r="S7" s="2" t="str">
        <x:f>IF(ISNUMBER(P7),IF(ISNUMBER(S6),S6+P7,P7),"n.b.")</x:f>
        <x:v>n.b.</x:v>
      </x:c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14" t="n">
        <x:v>46023</x:v>
      </x:c>
      <x:c r="B8" s="12" t="str">
        <x:f>IF(OR('Settings &amp; Assumptions'!$G$14&lt;&gt;1,A8&gt;'Settings &amp; Assumptions'!$B$6),"n.b.",SUMIFS(Invoices[amount_excl],Invoices[date],"&gt;="&amp;A8,Invoices[date],"&lt;"&amp;MIN(EDATE(A8,1),'Settings &amp; Assumptions'!$B$6+1),Invoices[status],"&lt;&gt;concept",Invoices[status],"&lt;&gt;geannuleerd"))</x:f>
        <x:v>n.b.</x:v>
      </x:c>
      <x:c r="C8" s="12" t="str">
        <x:f>IF(OR('Settings &amp; Assumptions'!$G$15&lt;&gt;1,A8&gt;'Settings &amp; Assumptions'!$B$6),"n.b.",SUMIFS(Expenses[amount_excl],Expenses[date],"&gt;="&amp;A8,Expenses[date],"&lt;"&amp;MIN(EDATE(A8,1),'Settings &amp; Assumptions'!$B$6+1),Expenses[capital_asset],"no"))</x:f>
        <x:v>n.b.</x:v>
      </x:c>
      <x:c r="D8" s="12" t="str">
        <x:f>IF(COUNT(B8:C8)&lt;2,"n.b.",B8-C8)</x:f>
        <x:v>n.b.</x:v>
      </x:c>
      <x:c r="E8" s="12" t="str">
        <x:f>IF(OR('Settings &amp; Assumptions'!$G$13&lt;&gt;1,A8&gt;'Settings &amp; Assumptions'!$B$6,'Settings &amp; Assumptions'!$B$13&gt;A8,'Settings &amp; Assumptions'!$B$14&lt;MIN(EDATE(A8,1)-1,'Settings &amp; Assumptions'!$B$6),NOT(ISNUMBER('Settings &amp; Assumptions'!$B$13)),NOT(ISNUMBER('Settings &amp; Assumptions'!$B$14))),"n.b.",-SUMIFS(Transactions[amount],Transactions[include_in_totals],1,Transactions[booking_date],"&gt;="&amp;A8,Transactions[booking_date],"&lt;"&amp;MIN(EDATE(A8,1),'Settings &amp; Assumptions'!$B$6+1),Transactions[classification],"private",Transactions[amount],"&lt;0",Transactions[currency],"EUR",Transactions[duplicate_status],""))</x:f>
        <x:v>n.b.</x:v>
      </x:c>
      <x:c r="F8" s="12" t="str">
        <x:f>IF(OR('Settings &amp; Assumptions'!$G$13&lt;&gt;1,A8&gt;'Settings &amp; Assumptions'!$B$6,'Settings &amp; Assumptions'!$B$13&gt;A8,'Settings &amp; Assumptions'!$B$14&lt;MIN(EDATE(A8,1)-1,'Settings &amp; Assumptions'!$B$6),NOT(ISNUMBER('Settings &amp; Assumptions'!$B$13)),NOT(ISNUMBER('Settings &amp; Assumptions'!$B$14))),"n.b.",SUMIFS(Transactions[amount],Transactions[include_in_totals],1,Transactions[booking_date],"&gt;="&amp;A8,Transactions[booking_date],"&lt;"&amp;MIN(EDATE(A8,1),'Settings &amp; Assumptions'!$B$6+1),Transactions[currency],"EUR",Transactions[duplicate_status],""))</x:f>
        <x:v>n.b.</x:v>
      </x:c>
      <x:c r="G8" s="15" t="str">
        <x:f>IF(COUNT(B8,D8)&lt;2,"n.b.",IF(B8=0,"n.b.",D8/B8))</x:f>
        <x:v>n.b.</x:v>
      </x:c>
      <x:c r="H8" s="2"/>
      <x:c r="I8" s="2"/>
      <x:c r="J8" s="2"/>
      <x:c r="K8" s="2"/>
      <x:c r="L8" s="2"/>
      <x:c r="M8" s="2" t="str">
        <x:f>IF(OR(NOT(ISNUMBER(B8)),K8="",K8&lt;=0),"n.b.",B8/K8)</x:f>
        <x:v>n.b.</x:v>
      </x:c>
      <x:c r="N8" s="2" t="str">
        <x:f>IF(OR(NOT(ISNUMBER(B8)),L8="",L8&lt;=0),"n.b.",B8/L8)</x:f>
        <x:v>n.b.</x:v>
      </x:c>
      <x:c r="O8" s="2" t="str">
        <x:f>TEXT(A8,"mmm yy")</x:f>
        <x:v>Jan 26</x:v>
      </x:c>
      <x:c r="P8" s="2" t="str">
        <x:f>IF(NOT(ISNUMBER(E8)),"n.b.",SUMIFS(Transactions[amount],Transactions[include_in_totals],1,Transactions[account_type],"private",Transactions[booking_date],"&gt;="&amp;A8,Transactions[booking_date],"&lt;"&amp;EDATE(A8,1),Transactions[currency],"EUR",Transactions[duplicate_status],""))</x:f>
        <x:v>n.b.</x:v>
      </x:c>
      <x:c r="Q8" s="2" t="str">
        <x:f>IF(COUNT(P8,E8)&lt;2,"n.b.",P8+E8)</x:f>
        <x:v>n.b.</x:v>
      </x:c>
      <x:c r="R8" s="15" t="str">
        <x:f>IF(OR(NOT(ISNUMBER(Q8)),Q8&lt;=0),"n.b.",P8/Q8)</x:f>
        <x:v>n.b.</x:v>
      </x:c>
      <x:c r="S8" s="2" t="str">
        <x:f>IF(ISNUMBER(P8),IF(ISNUMBER(S7),S7+P8,P8),"n.b.")</x:f>
        <x:v>n.b.</x:v>
      </x:c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14" t="n">
        <x:v>46054</x:v>
      </x:c>
      <x:c r="B9" s="12" t="str">
        <x:f>IF(OR('Settings &amp; Assumptions'!$G$14&lt;&gt;1,A9&gt;'Settings &amp; Assumptions'!$B$6),"n.b.",SUMIFS(Invoices[amount_excl],Invoices[date],"&gt;="&amp;A9,Invoices[date],"&lt;"&amp;MIN(EDATE(A9,1),'Settings &amp; Assumptions'!$B$6+1),Invoices[status],"&lt;&gt;concept",Invoices[status],"&lt;&gt;geannuleerd"))</x:f>
        <x:v>n.b.</x:v>
      </x:c>
      <x:c r="C9" s="12" t="str">
        <x:f>IF(OR('Settings &amp; Assumptions'!$G$15&lt;&gt;1,A9&gt;'Settings &amp; Assumptions'!$B$6),"n.b.",SUMIFS(Expenses[amount_excl],Expenses[date],"&gt;="&amp;A9,Expenses[date],"&lt;"&amp;MIN(EDATE(A9,1),'Settings &amp; Assumptions'!$B$6+1),Expenses[capital_asset],"no"))</x:f>
        <x:v>n.b.</x:v>
      </x:c>
      <x:c r="D9" s="12" t="str">
        <x:f>IF(COUNT(B9:C9)&lt;2,"n.b.",B9-C9)</x:f>
        <x:v>n.b.</x:v>
      </x:c>
      <x:c r="E9" s="12" t="str">
        <x:f>IF(OR('Settings &amp; Assumptions'!$G$13&lt;&gt;1,A9&gt;'Settings &amp; Assumptions'!$B$6,'Settings &amp; Assumptions'!$B$13&gt;A9,'Settings &amp; Assumptions'!$B$14&lt;MIN(EDATE(A9,1)-1,'Settings &amp; Assumptions'!$B$6),NOT(ISNUMBER('Settings &amp; Assumptions'!$B$13)),NOT(ISNUMBER('Settings &amp; Assumptions'!$B$14))),"n.b.",-SUMIFS(Transactions[amount],Transactions[include_in_totals],1,Transactions[booking_date],"&gt;="&amp;A9,Transactions[booking_date],"&lt;"&amp;MIN(EDATE(A9,1),'Settings &amp; Assumptions'!$B$6+1),Transactions[classification],"private",Transactions[amount],"&lt;0",Transactions[currency],"EUR",Transactions[duplicate_status],""))</x:f>
        <x:v>n.b.</x:v>
      </x:c>
      <x:c r="F9" s="12" t="str">
        <x:f>IF(OR('Settings &amp; Assumptions'!$G$13&lt;&gt;1,A9&gt;'Settings &amp; Assumptions'!$B$6,'Settings &amp; Assumptions'!$B$13&gt;A9,'Settings &amp; Assumptions'!$B$14&lt;MIN(EDATE(A9,1)-1,'Settings &amp; Assumptions'!$B$6),NOT(ISNUMBER('Settings &amp; Assumptions'!$B$13)),NOT(ISNUMBER('Settings &amp; Assumptions'!$B$14))),"n.b.",SUMIFS(Transactions[amount],Transactions[include_in_totals],1,Transactions[booking_date],"&gt;="&amp;A9,Transactions[booking_date],"&lt;"&amp;MIN(EDATE(A9,1),'Settings &amp; Assumptions'!$B$6+1),Transactions[currency],"EUR",Transactions[duplicate_status],""))</x:f>
        <x:v>n.b.</x:v>
      </x:c>
      <x:c r="G9" s="15" t="str">
        <x:f>IF(COUNT(B9,D9)&lt;2,"n.b.",IF(B9=0,"n.b.",D9/B9))</x:f>
        <x:v>n.b.</x:v>
      </x:c>
      <x:c r="H9" s="2"/>
      <x:c r="I9" s="2"/>
      <x:c r="J9" s="2"/>
      <x:c r="K9" s="2"/>
      <x:c r="L9" s="2"/>
      <x:c r="M9" s="2" t="str">
        <x:f>IF(OR(NOT(ISNUMBER(B9)),K9="",K9&lt;=0),"n.b.",B9/K9)</x:f>
        <x:v>n.b.</x:v>
      </x:c>
      <x:c r="N9" s="2" t="str">
        <x:f>IF(OR(NOT(ISNUMBER(B9)),L9="",L9&lt;=0),"n.b.",B9/L9)</x:f>
        <x:v>n.b.</x:v>
      </x:c>
      <x:c r="O9" s="2" t="str">
        <x:f>TEXT(A9,"mmm yy")</x:f>
        <x:v>Feb 26</x:v>
      </x:c>
      <x:c r="P9" s="2" t="str">
        <x:f>IF(NOT(ISNUMBER(E9)),"n.b.",SUMIFS(Transactions[amount],Transactions[include_in_totals],1,Transactions[account_type],"private",Transactions[booking_date],"&gt;="&amp;A9,Transactions[booking_date],"&lt;"&amp;EDATE(A9,1),Transactions[currency],"EUR",Transactions[duplicate_status],""))</x:f>
        <x:v>n.b.</x:v>
      </x:c>
      <x:c r="Q9" s="2" t="str">
        <x:f>IF(COUNT(P9,E9)&lt;2,"n.b.",P9+E9)</x:f>
        <x:v>n.b.</x:v>
      </x:c>
      <x:c r="R9" s="15" t="str">
        <x:f>IF(OR(NOT(ISNUMBER(Q9)),Q9&lt;=0),"n.b.",P9/Q9)</x:f>
        <x:v>n.b.</x:v>
      </x:c>
      <x:c r="S9" s="2" t="str">
        <x:f>IF(ISNUMBER(P9),IF(ISNUMBER(S8),S8+P9,P9),"n.b.")</x:f>
        <x:v>n.b.</x:v>
      </x:c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14" t="n">
        <x:v>46082</x:v>
      </x:c>
      <x:c r="B10" s="12" t="str">
        <x:f>IF(OR('Settings &amp; Assumptions'!$G$14&lt;&gt;1,A10&gt;'Settings &amp; Assumptions'!$B$6),"n.b.",SUMIFS(Invoices[amount_excl],Invoices[date],"&gt;="&amp;A10,Invoices[date],"&lt;"&amp;MIN(EDATE(A10,1),'Settings &amp; Assumptions'!$B$6+1),Invoices[status],"&lt;&gt;concept",Invoices[status],"&lt;&gt;geannuleerd"))</x:f>
        <x:v>n.b.</x:v>
      </x:c>
      <x:c r="C10" s="12" t="str">
        <x:f>IF(OR('Settings &amp; Assumptions'!$G$15&lt;&gt;1,A10&gt;'Settings &amp; Assumptions'!$B$6),"n.b.",SUMIFS(Expenses[amount_excl],Expenses[date],"&gt;="&amp;A10,Expenses[date],"&lt;"&amp;MIN(EDATE(A10,1),'Settings &amp; Assumptions'!$B$6+1),Expenses[capital_asset],"no"))</x:f>
        <x:v>n.b.</x:v>
      </x:c>
      <x:c r="D10" s="12" t="str">
        <x:f>IF(COUNT(B10:C10)&lt;2,"n.b.",B10-C10)</x:f>
        <x:v>n.b.</x:v>
      </x:c>
      <x:c r="E10" s="12" t="str">
        <x:f>IF(OR('Settings &amp; Assumptions'!$G$13&lt;&gt;1,A10&gt;'Settings &amp; Assumptions'!$B$6,'Settings &amp; Assumptions'!$B$13&gt;A10,'Settings &amp; Assumptions'!$B$14&lt;MIN(EDATE(A10,1)-1,'Settings &amp; Assumptions'!$B$6),NOT(ISNUMBER('Settings &amp; Assumptions'!$B$13)),NOT(ISNUMBER('Settings &amp; Assumptions'!$B$14))),"n.b.",-SUMIFS(Transactions[amount],Transactions[include_in_totals],1,Transactions[booking_date],"&gt;="&amp;A10,Transactions[booking_date],"&lt;"&amp;MIN(EDATE(A10,1),'Settings &amp; Assumptions'!$B$6+1),Transactions[classification],"private",Transactions[amount],"&lt;0",Transactions[currency],"EUR",Transactions[duplicate_status],""))</x:f>
        <x:v>n.b.</x:v>
      </x:c>
      <x:c r="F10" s="12" t="str">
        <x:f>IF(OR('Settings &amp; Assumptions'!$G$13&lt;&gt;1,A10&gt;'Settings &amp; Assumptions'!$B$6,'Settings &amp; Assumptions'!$B$13&gt;A10,'Settings &amp; Assumptions'!$B$14&lt;MIN(EDATE(A10,1)-1,'Settings &amp; Assumptions'!$B$6),NOT(ISNUMBER('Settings &amp; Assumptions'!$B$13)),NOT(ISNUMBER('Settings &amp; Assumptions'!$B$14))),"n.b.",SUMIFS(Transactions[amount],Transactions[include_in_totals],1,Transactions[booking_date],"&gt;="&amp;A10,Transactions[booking_date],"&lt;"&amp;MIN(EDATE(A10,1),'Settings &amp; Assumptions'!$B$6+1),Transactions[currency],"EUR",Transactions[duplicate_status],""))</x:f>
        <x:v>n.b.</x:v>
      </x:c>
      <x:c r="G10" s="15" t="str">
        <x:f>IF(COUNT(B10,D10)&lt;2,"n.b.",IF(B10=0,"n.b.",D10/B10))</x:f>
        <x:v>n.b.</x:v>
      </x:c>
      <x:c r="H10" s="2"/>
      <x:c r="I10" s="2"/>
      <x:c r="J10" s="2"/>
      <x:c r="K10" s="2"/>
      <x:c r="L10" s="2"/>
      <x:c r="M10" s="2" t="str">
        <x:f>IF(OR(NOT(ISNUMBER(B10)),K10="",K10&lt;=0),"n.b.",B10/K10)</x:f>
        <x:v>n.b.</x:v>
      </x:c>
      <x:c r="N10" s="2" t="str">
        <x:f>IF(OR(NOT(ISNUMBER(B10)),L10="",L10&lt;=0),"n.b.",B10/L10)</x:f>
        <x:v>n.b.</x:v>
      </x:c>
      <x:c r="O10" s="2" t="str">
        <x:f>TEXT(A10,"mmm yy")</x:f>
        <x:v>Mar 26</x:v>
      </x:c>
      <x:c r="P10" s="2" t="str">
        <x:f>IF(NOT(ISNUMBER(E10)),"n.b.",SUMIFS(Transactions[amount],Transactions[include_in_totals],1,Transactions[account_type],"private",Transactions[booking_date],"&gt;="&amp;A10,Transactions[booking_date],"&lt;"&amp;EDATE(A10,1),Transactions[currency],"EUR",Transactions[duplicate_status],""))</x:f>
        <x:v>n.b.</x:v>
      </x:c>
      <x:c r="Q10" s="2" t="str">
        <x:f>IF(COUNT(P10,E10)&lt;2,"n.b.",P10+E10)</x:f>
        <x:v>n.b.</x:v>
      </x:c>
      <x:c r="R10" s="15" t="str">
        <x:f>IF(OR(NOT(ISNUMBER(Q10)),Q10&lt;=0),"n.b.",P10/Q10)</x:f>
        <x:v>n.b.</x:v>
      </x:c>
      <x:c r="S10" s="2" t="str">
        <x:f>IF(ISNUMBER(P10),IF(ISNUMBER(S9),S9+P10,P10),"n.b.")</x:f>
        <x:v>n.b.</x:v>
      </x:c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14" t="n">
        <x:v>46113</x:v>
      </x:c>
      <x:c r="B11" s="12" t="str">
        <x:f>IF(OR('Settings &amp; Assumptions'!$G$14&lt;&gt;1,A11&gt;'Settings &amp; Assumptions'!$B$6),"n.b.",SUMIFS(Invoices[amount_excl],Invoices[date],"&gt;="&amp;A11,Invoices[date],"&lt;"&amp;MIN(EDATE(A11,1),'Settings &amp; Assumptions'!$B$6+1),Invoices[status],"&lt;&gt;concept",Invoices[status],"&lt;&gt;geannuleerd"))</x:f>
        <x:v>n.b.</x:v>
      </x:c>
      <x:c r="C11" s="12" t="str">
        <x:f>IF(OR('Settings &amp; Assumptions'!$G$15&lt;&gt;1,A11&gt;'Settings &amp; Assumptions'!$B$6),"n.b.",SUMIFS(Expenses[amount_excl],Expenses[date],"&gt;="&amp;A11,Expenses[date],"&lt;"&amp;MIN(EDATE(A11,1),'Settings &amp; Assumptions'!$B$6+1),Expenses[capital_asset],"no"))</x:f>
        <x:v>n.b.</x:v>
      </x:c>
      <x:c r="D11" s="12" t="str">
        <x:f>IF(COUNT(B11:C11)&lt;2,"n.b.",B11-C11)</x:f>
        <x:v>n.b.</x:v>
      </x:c>
      <x:c r="E11" s="12" t="str">
        <x:f>IF(OR('Settings &amp; Assumptions'!$G$13&lt;&gt;1,A11&gt;'Settings &amp; Assumptions'!$B$6,'Settings &amp; Assumptions'!$B$13&gt;A11,'Settings &amp; Assumptions'!$B$14&lt;MIN(EDATE(A11,1)-1,'Settings &amp; Assumptions'!$B$6),NOT(ISNUMBER('Settings &amp; Assumptions'!$B$13)),NOT(ISNUMBER('Settings &amp; Assumptions'!$B$14))),"n.b.",-SUMIFS(Transactions[amount],Transactions[include_in_totals],1,Transactions[booking_date],"&gt;="&amp;A11,Transactions[booking_date],"&lt;"&amp;MIN(EDATE(A11,1),'Settings &amp; Assumptions'!$B$6+1),Transactions[classification],"private",Transactions[amount],"&lt;0",Transactions[currency],"EUR",Transactions[duplicate_status],""))</x:f>
        <x:v>n.b.</x:v>
      </x:c>
      <x:c r="F11" s="12" t="str">
        <x:f>IF(OR('Settings &amp; Assumptions'!$G$13&lt;&gt;1,A11&gt;'Settings &amp; Assumptions'!$B$6,'Settings &amp; Assumptions'!$B$13&gt;A11,'Settings &amp; Assumptions'!$B$14&lt;MIN(EDATE(A11,1)-1,'Settings &amp; Assumptions'!$B$6),NOT(ISNUMBER('Settings &amp; Assumptions'!$B$13)),NOT(ISNUMBER('Settings &amp; Assumptions'!$B$14))),"n.b.",SUMIFS(Transactions[amount],Transactions[include_in_totals],1,Transactions[booking_date],"&gt;="&amp;A11,Transactions[booking_date],"&lt;"&amp;MIN(EDATE(A11,1),'Settings &amp; Assumptions'!$B$6+1),Transactions[currency],"EUR",Transactions[duplicate_status],""))</x:f>
        <x:v>n.b.</x:v>
      </x:c>
      <x:c r="G11" s="15" t="str">
        <x:f>IF(COUNT(B11,D11)&lt;2,"n.b.",IF(B11=0,"n.b.",D11/B11))</x:f>
        <x:v>n.b.</x:v>
      </x:c>
      <x:c r="H11" s="2"/>
      <x:c r="I11" s="2"/>
      <x:c r="J11" s="2"/>
      <x:c r="K11" s="2"/>
      <x:c r="L11" s="2"/>
      <x:c r="M11" s="2" t="str">
        <x:f>IF(OR(NOT(ISNUMBER(B11)),K11="",K11&lt;=0),"n.b.",B11/K11)</x:f>
        <x:v>n.b.</x:v>
      </x:c>
      <x:c r="N11" s="2" t="str">
        <x:f>IF(OR(NOT(ISNUMBER(B11)),L11="",L11&lt;=0),"n.b.",B11/L11)</x:f>
        <x:v>n.b.</x:v>
      </x:c>
      <x:c r="O11" s="2" t="str">
        <x:f>TEXT(A11,"mmm yy")</x:f>
        <x:v>Apr 26</x:v>
      </x:c>
      <x:c r="P11" s="2" t="str">
        <x:f>IF(NOT(ISNUMBER(E11)),"n.b.",SUMIFS(Transactions[amount],Transactions[include_in_totals],1,Transactions[account_type],"private",Transactions[booking_date],"&gt;="&amp;A11,Transactions[booking_date],"&lt;"&amp;EDATE(A11,1),Transactions[currency],"EUR",Transactions[duplicate_status],""))</x:f>
        <x:v>n.b.</x:v>
      </x:c>
      <x:c r="Q11" s="2" t="str">
        <x:f>IF(COUNT(P11,E11)&lt;2,"n.b.",P11+E11)</x:f>
        <x:v>n.b.</x:v>
      </x:c>
      <x:c r="R11" s="15" t="str">
        <x:f>IF(OR(NOT(ISNUMBER(Q11)),Q11&lt;=0),"n.b.",P11/Q11)</x:f>
        <x:v>n.b.</x:v>
      </x:c>
      <x:c r="S11" s="2" t="str">
        <x:f>IF(ISNUMBER(P11),IF(ISNUMBER(S10),S10+P11,P11),"n.b.")</x:f>
        <x:v>n.b.</x:v>
      </x:c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14" t="n">
        <x:v>46143</x:v>
      </x:c>
      <x:c r="B12" s="12" t="str">
        <x:f>IF(OR('Settings &amp; Assumptions'!$G$14&lt;&gt;1,A12&gt;'Settings &amp; Assumptions'!$B$6),"n.b.",SUMIFS(Invoices[amount_excl],Invoices[date],"&gt;="&amp;A12,Invoices[date],"&lt;"&amp;MIN(EDATE(A12,1),'Settings &amp; Assumptions'!$B$6+1),Invoices[status],"&lt;&gt;concept",Invoices[status],"&lt;&gt;geannuleerd"))</x:f>
        <x:v>n.b.</x:v>
      </x:c>
      <x:c r="C12" s="12" t="str">
        <x:f>IF(OR('Settings &amp; Assumptions'!$G$15&lt;&gt;1,A12&gt;'Settings &amp; Assumptions'!$B$6),"n.b.",SUMIFS(Expenses[amount_excl],Expenses[date],"&gt;="&amp;A12,Expenses[date],"&lt;"&amp;MIN(EDATE(A12,1),'Settings &amp; Assumptions'!$B$6+1),Expenses[capital_asset],"no"))</x:f>
        <x:v>n.b.</x:v>
      </x:c>
      <x:c r="D12" s="12" t="str">
        <x:f>IF(COUNT(B12:C12)&lt;2,"n.b.",B12-C12)</x:f>
        <x:v>n.b.</x:v>
      </x:c>
      <x:c r="E12" s="12" t="str">
        <x:f>IF(OR('Settings &amp; Assumptions'!$G$13&lt;&gt;1,A12&gt;'Settings &amp; Assumptions'!$B$6,'Settings &amp; Assumptions'!$B$13&gt;A12,'Settings &amp; Assumptions'!$B$14&lt;MIN(EDATE(A12,1)-1,'Settings &amp; Assumptions'!$B$6),NOT(ISNUMBER('Settings &amp; Assumptions'!$B$13)),NOT(ISNUMBER('Settings &amp; Assumptions'!$B$14))),"n.b.",-SUMIFS(Transactions[amount],Transactions[include_in_totals],1,Transactions[booking_date],"&gt;="&amp;A12,Transactions[booking_date],"&lt;"&amp;MIN(EDATE(A12,1),'Settings &amp; Assumptions'!$B$6+1),Transactions[classification],"private",Transactions[amount],"&lt;0",Transactions[currency],"EUR",Transactions[duplicate_status],""))</x:f>
        <x:v>n.b.</x:v>
      </x:c>
      <x:c r="F12" s="12" t="str">
        <x:f>IF(OR('Settings &amp; Assumptions'!$G$13&lt;&gt;1,A12&gt;'Settings &amp; Assumptions'!$B$6,'Settings &amp; Assumptions'!$B$13&gt;A12,'Settings &amp; Assumptions'!$B$14&lt;MIN(EDATE(A12,1)-1,'Settings &amp; Assumptions'!$B$6),NOT(ISNUMBER('Settings &amp; Assumptions'!$B$13)),NOT(ISNUMBER('Settings &amp; Assumptions'!$B$14))),"n.b.",SUMIFS(Transactions[amount],Transactions[include_in_totals],1,Transactions[booking_date],"&gt;="&amp;A12,Transactions[booking_date],"&lt;"&amp;MIN(EDATE(A12,1),'Settings &amp; Assumptions'!$B$6+1),Transactions[currency],"EUR",Transactions[duplicate_status],""))</x:f>
        <x:v>n.b.</x:v>
      </x:c>
      <x:c r="G12" s="15" t="str">
        <x:f>IF(COUNT(B12,D12)&lt;2,"n.b.",IF(B12=0,"n.b.",D12/B12))</x:f>
        <x:v>n.b.</x:v>
      </x:c>
      <x:c r="H12" s="2"/>
      <x:c r="I12" s="2"/>
      <x:c r="J12" s="2"/>
      <x:c r="K12" s="2"/>
      <x:c r="L12" s="2"/>
      <x:c r="M12" s="2" t="str">
        <x:f>IF(OR(NOT(ISNUMBER(B12)),K12="",K12&lt;=0),"n.b.",B12/K12)</x:f>
        <x:v>n.b.</x:v>
      </x:c>
      <x:c r="N12" s="2" t="str">
        <x:f>IF(OR(NOT(ISNUMBER(B12)),L12="",L12&lt;=0),"n.b.",B12/L12)</x:f>
        <x:v>n.b.</x:v>
      </x:c>
      <x:c r="O12" s="2" t="str">
        <x:f>TEXT(A12,"mmm yy")</x:f>
        <x:v>May 26</x:v>
      </x:c>
      <x:c r="P12" s="2" t="str">
        <x:f>IF(NOT(ISNUMBER(E12)),"n.b.",SUMIFS(Transactions[amount],Transactions[include_in_totals],1,Transactions[account_type],"private",Transactions[booking_date],"&gt;="&amp;A12,Transactions[booking_date],"&lt;"&amp;EDATE(A12,1),Transactions[currency],"EUR",Transactions[duplicate_status],""))</x:f>
        <x:v>n.b.</x:v>
      </x:c>
      <x:c r="Q12" s="2" t="str">
        <x:f>IF(COUNT(P12,E12)&lt;2,"n.b.",P12+E12)</x:f>
        <x:v>n.b.</x:v>
      </x:c>
      <x:c r="R12" s="15" t="str">
        <x:f>IF(OR(NOT(ISNUMBER(Q12)),Q12&lt;=0),"n.b.",P12/Q12)</x:f>
        <x:v>n.b.</x:v>
      </x:c>
      <x:c r="S12" s="2" t="str">
        <x:f>IF(ISNUMBER(P12),IF(ISNUMBER(S11),S11+P12,P12),"n.b.")</x:f>
        <x:v>n.b.</x:v>
      </x:c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14" t="n">
        <x:v>46174</x:v>
      </x:c>
      <x:c r="B13" s="12" t="str">
        <x:f>IF(OR('Settings &amp; Assumptions'!$G$14&lt;&gt;1,A13&gt;'Settings &amp; Assumptions'!$B$6),"n.b.",SUMIFS(Invoices[amount_excl],Invoices[date],"&gt;="&amp;A13,Invoices[date],"&lt;"&amp;MIN(EDATE(A13,1),'Settings &amp; Assumptions'!$B$6+1),Invoices[status],"&lt;&gt;concept",Invoices[status],"&lt;&gt;geannuleerd"))</x:f>
        <x:v>n.b.</x:v>
      </x:c>
      <x:c r="C13" s="12" t="str">
        <x:f>IF(OR('Settings &amp; Assumptions'!$G$15&lt;&gt;1,A13&gt;'Settings &amp; Assumptions'!$B$6),"n.b.",SUMIFS(Expenses[amount_excl],Expenses[date],"&gt;="&amp;A13,Expenses[date],"&lt;"&amp;MIN(EDATE(A13,1),'Settings &amp; Assumptions'!$B$6+1),Expenses[capital_asset],"no"))</x:f>
        <x:v>n.b.</x:v>
      </x:c>
      <x:c r="D13" s="12" t="str">
        <x:f>IF(COUNT(B13:C13)&lt;2,"n.b.",B13-C13)</x:f>
        <x:v>n.b.</x:v>
      </x:c>
      <x:c r="E13" s="12" t="str">
        <x:f>IF(OR('Settings &amp; Assumptions'!$G$13&lt;&gt;1,A13&gt;'Settings &amp; Assumptions'!$B$6,'Settings &amp; Assumptions'!$B$13&gt;A13,'Settings &amp; Assumptions'!$B$14&lt;MIN(EDATE(A13,1)-1,'Settings &amp; Assumptions'!$B$6),NOT(ISNUMBER('Settings &amp; Assumptions'!$B$13)),NOT(ISNUMBER('Settings &amp; Assumptions'!$B$14))),"n.b.",-SUMIFS(Transactions[amount],Transactions[include_in_totals],1,Transactions[booking_date],"&gt;="&amp;A13,Transactions[booking_date],"&lt;"&amp;MIN(EDATE(A13,1),'Settings &amp; Assumptions'!$B$6+1),Transactions[classification],"private",Transactions[amount],"&lt;0",Transactions[currency],"EUR",Transactions[duplicate_status],""))</x:f>
        <x:v>n.b.</x:v>
      </x:c>
      <x:c r="F13" s="12" t="str">
        <x:f>IF(OR('Settings &amp; Assumptions'!$G$13&lt;&gt;1,A13&gt;'Settings &amp; Assumptions'!$B$6,'Settings &amp; Assumptions'!$B$13&gt;A13,'Settings &amp; Assumptions'!$B$14&lt;MIN(EDATE(A13,1)-1,'Settings &amp; Assumptions'!$B$6),NOT(ISNUMBER('Settings &amp; Assumptions'!$B$13)),NOT(ISNUMBER('Settings &amp; Assumptions'!$B$14))),"n.b.",SUMIFS(Transactions[amount],Transactions[include_in_totals],1,Transactions[booking_date],"&gt;="&amp;A13,Transactions[booking_date],"&lt;"&amp;MIN(EDATE(A13,1),'Settings &amp; Assumptions'!$B$6+1),Transactions[currency],"EUR",Transactions[duplicate_status],""))</x:f>
        <x:v>n.b.</x:v>
      </x:c>
      <x:c r="G13" s="15" t="str">
        <x:f>IF(COUNT(B13,D13)&lt;2,"n.b.",IF(B13=0,"n.b.",D13/B13))</x:f>
        <x:v>n.b.</x:v>
      </x:c>
      <x:c r="H13" s="2"/>
      <x:c r="I13" s="2"/>
      <x:c r="J13" s="2"/>
      <x:c r="K13" s="2"/>
      <x:c r="L13" s="2"/>
      <x:c r="M13" s="2" t="str">
        <x:f>IF(OR(NOT(ISNUMBER(B13)),K13="",K13&lt;=0),"n.b.",B13/K13)</x:f>
        <x:v>n.b.</x:v>
      </x:c>
      <x:c r="N13" s="2" t="str">
        <x:f>IF(OR(NOT(ISNUMBER(B13)),L13="",L13&lt;=0),"n.b.",B13/L13)</x:f>
        <x:v>n.b.</x:v>
      </x:c>
      <x:c r="O13" s="2" t="str">
        <x:f>TEXT(A13,"mmm yy")</x:f>
        <x:v>Jun 26</x:v>
      </x:c>
      <x:c r="P13" s="2" t="str">
        <x:f>IF(NOT(ISNUMBER(E13)),"n.b.",SUMIFS(Transactions[amount],Transactions[include_in_totals],1,Transactions[account_type],"private",Transactions[booking_date],"&gt;="&amp;A13,Transactions[booking_date],"&lt;"&amp;EDATE(A13,1),Transactions[currency],"EUR",Transactions[duplicate_status],""))</x:f>
        <x:v>n.b.</x:v>
      </x:c>
      <x:c r="Q13" s="2" t="str">
        <x:f>IF(COUNT(P13,E13)&lt;2,"n.b.",P13+E13)</x:f>
        <x:v>n.b.</x:v>
      </x:c>
      <x:c r="R13" s="15" t="str">
        <x:f>IF(OR(NOT(ISNUMBER(Q13)),Q13&lt;=0),"n.b.",P13/Q13)</x:f>
        <x:v>n.b.</x:v>
      </x:c>
      <x:c r="S13" s="2" t="str">
        <x:f>IF(ISNUMBER(P13),IF(ISNUMBER(S12),S12+P13,P13),"n.b.")</x:f>
        <x:v>n.b.</x:v>
      </x:c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14" t="n">
        <x:v>46204</x:v>
      </x:c>
      <x:c r="B14" s="12" t="str">
        <x:f>IF(OR('Settings &amp; Assumptions'!$G$14&lt;&gt;1,A14&gt;'Settings &amp; Assumptions'!$B$6),"n.b.",SUMIFS(Invoices[amount_excl],Invoices[date],"&gt;="&amp;A14,Invoices[date],"&lt;"&amp;MIN(EDATE(A14,1),'Settings &amp; Assumptions'!$B$6+1),Invoices[status],"&lt;&gt;concept",Invoices[status],"&lt;&gt;geannuleerd"))</x:f>
        <x:v>n.b.</x:v>
      </x:c>
      <x:c r="C14" s="12" t="str">
        <x:f>IF(OR('Settings &amp; Assumptions'!$G$15&lt;&gt;1,A14&gt;'Settings &amp; Assumptions'!$B$6),"n.b.",SUMIFS(Expenses[amount_excl],Expenses[date],"&gt;="&amp;A14,Expenses[date],"&lt;"&amp;MIN(EDATE(A14,1),'Settings &amp; Assumptions'!$B$6+1),Expenses[capital_asset],"no"))</x:f>
        <x:v>n.b.</x:v>
      </x:c>
      <x:c r="D14" s="12" t="str">
        <x:f>IF(COUNT(B14:C14)&lt;2,"n.b.",B14-C14)</x:f>
        <x:v>n.b.</x:v>
      </x:c>
      <x:c r="E14" s="12" t="str">
        <x:f>IF(OR('Settings &amp; Assumptions'!$G$13&lt;&gt;1,A14&gt;'Settings &amp; Assumptions'!$B$6,'Settings &amp; Assumptions'!$B$13&gt;A14,'Settings &amp; Assumptions'!$B$14&lt;MIN(EDATE(A14,1)-1,'Settings &amp; Assumptions'!$B$6),NOT(ISNUMBER('Settings &amp; Assumptions'!$B$13)),NOT(ISNUMBER('Settings &amp; Assumptions'!$B$14))),"n.b.",-SUMIFS(Transactions[amount],Transactions[include_in_totals],1,Transactions[booking_date],"&gt;="&amp;A14,Transactions[booking_date],"&lt;"&amp;MIN(EDATE(A14,1),'Settings &amp; Assumptions'!$B$6+1),Transactions[classification],"private",Transactions[amount],"&lt;0",Transactions[currency],"EUR",Transactions[duplicate_status],""))</x:f>
        <x:v>n.b.</x:v>
      </x:c>
      <x:c r="F14" s="12" t="str">
        <x:f>IF(OR('Settings &amp; Assumptions'!$G$13&lt;&gt;1,A14&gt;'Settings &amp; Assumptions'!$B$6,'Settings &amp; Assumptions'!$B$13&gt;A14,'Settings &amp; Assumptions'!$B$14&lt;MIN(EDATE(A14,1)-1,'Settings &amp; Assumptions'!$B$6),NOT(ISNUMBER('Settings &amp; Assumptions'!$B$13)),NOT(ISNUMBER('Settings &amp; Assumptions'!$B$14))),"n.b.",SUMIFS(Transactions[amount],Transactions[include_in_totals],1,Transactions[booking_date],"&gt;="&amp;A14,Transactions[booking_date],"&lt;"&amp;MIN(EDATE(A14,1),'Settings &amp; Assumptions'!$B$6+1),Transactions[currency],"EUR",Transactions[duplicate_status],""))</x:f>
        <x:v>n.b.</x:v>
      </x:c>
      <x:c r="G14" s="15" t="str">
        <x:f>IF(COUNT(B14,D14)&lt;2,"n.b.",IF(B14=0,"n.b.",D14/B14))</x:f>
        <x:v>n.b.</x:v>
      </x:c>
      <x:c r="H14" s="2"/>
      <x:c r="I14" s="2"/>
      <x:c r="J14" s="2"/>
      <x:c r="K14" s="2"/>
      <x:c r="L14" s="2"/>
      <x:c r="M14" s="2" t="str">
        <x:f>IF(OR(NOT(ISNUMBER(B14)),K14="",K14&lt;=0),"n.b.",B14/K14)</x:f>
        <x:v>n.b.</x:v>
      </x:c>
      <x:c r="N14" s="2" t="str">
        <x:f>IF(OR(NOT(ISNUMBER(B14)),L14="",L14&lt;=0),"n.b.",B14/L14)</x:f>
        <x:v>n.b.</x:v>
      </x:c>
      <x:c r="O14" s="2" t="str">
        <x:f>TEXT(A14,"mmm yy")</x:f>
        <x:v>Jul 26</x:v>
      </x:c>
      <x:c r="P14" s="2" t="str">
        <x:f>IF(NOT(ISNUMBER(E14)),"n.b.",SUMIFS(Transactions[amount],Transactions[include_in_totals],1,Transactions[account_type],"private",Transactions[booking_date],"&gt;="&amp;A14,Transactions[booking_date],"&lt;"&amp;EDATE(A14,1),Transactions[currency],"EUR",Transactions[duplicate_status],""))</x:f>
        <x:v>n.b.</x:v>
      </x:c>
      <x:c r="Q14" s="2" t="str">
        <x:f>IF(COUNT(P14,E14)&lt;2,"n.b.",P14+E14)</x:f>
        <x:v>n.b.</x:v>
      </x:c>
      <x:c r="R14" s="15" t="str">
        <x:f>IF(OR(NOT(ISNUMBER(Q14)),Q14&lt;=0),"n.b.",P14/Q14)</x:f>
        <x:v>n.b.</x:v>
      </x:c>
      <x:c r="S14" s="2" t="str">
        <x:f>IF(ISNUMBER(P14),IF(ISNUMBER(S13),S13+P14,P14),"n.b.")</x:f>
        <x:v>n.b.</x:v>
      </x:c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14" t="n">
        <x:v>46235</x:v>
      </x:c>
      <x:c r="B15" s="12" t="str">
        <x:f>IF(OR('Settings &amp; Assumptions'!$G$14&lt;&gt;1,A15&gt;'Settings &amp; Assumptions'!$B$6),"n.b.",SUMIFS(Invoices[amount_excl],Invoices[date],"&gt;="&amp;A15,Invoices[date],"&lt;"&amp;MIN(EDATE(A15,1),'Settings &amp; Assumptions'!$B$6+1),Invoices[status],"&lt;&gt;concept",Invoices[status],"&lt;&gt;geannuleerd"))</x:f>
        <x:v>n.b.</x:v>
      </x:c>
      <x:c r="C15" s="12" t="str">
        <x:f>IF(OR('Settings &amp; Assumptions'!$G$15&lt;&gt;1,A15&gt;'Settings &amp; Assumptions'!$B$6),"n.b.",SUMIFS(Expenses[amount_excl],Expenses[date],"&gt;="&amp;A15,Expenses[date],"&lt;"&amp;MIN(EDATE(A15,1),'Settings &amp; Assumptions'!$B$6+1),Expenses[capital_asset],"no"))</x:f>
        <x:v>n.b.</x:v>
      </x:c>
      <x:c r="D15" s="12" t="str">
        <x:f>IF(COUNT(B15:C15)&lt;2,"n.b.",B15-C15)</x:f>
        <x:v>n.b.</x:v>
      </x:c>
      <x:c r="E15" s="12" t="str">
        <x:f>IF(OR('Settings &amp; Assumptions'!$G$13&lt;&gt;1,A15&gt;'Settings &amp; Assumptions'!$B$6,'Settings &amp; Assumptions'!$B$13&gt;A15,'Settings &amp; Assumptions'!$B$14&lt;MIN(EDATE(A15,1)-1,'Settings &amp; Assumptions'!$B$6),NOT(ISNUMBER('Settings &amp; Assumptions'!$B$13)),NOT(ISNUMBER('Settings &amp; Assumptions'!$B$14))),"n.b.",-SUMIFS(Transactions[amount],Transactions[include_in_totals],1,Transactions[booking_date],"&gt;="&amp;A15,Transactions[booking_date],"&lt;"&amp;MIN(EDATE(A15,1),'Settings &amp; Assumptions'!$B$6+1),Transactions[classification],"private",Transactions[amount],"&lt;0",Transactions[currency],"EUR",Transactions[duplicate_status],""))</x:f>
        <x:v>n.b.</x:v>
      </x:c>
      <x:c r="F15" s="12" t="str">
        <x:f>IF(OR('Settings &amp; Assumptions'!$G$13&lt;&gt;1,A15&gt;'Settings &amp; Assumptions'!$B$6,'Settings &amp; Assumptions'!$B$13&gt;A15,'Settings &amp; Assumptions'!$B$14&lt;MIN(EDATE(A15,1)-1,'Settings &amp; Assumptions'!$B$6),NOT(ISNUMBER('Settings &amp; Assumptions'!$B$13)),NOT(ISNUMBER('Settings &amp; Assumptions'!$B$14))),"n.b.",SUMIFS(Transactions[amount],Transactions[include_in_totals],1,Transactions[booking_date],"&gt;="&amp;A15,Transactions[booking_date],"&lt;"&amp;MIN(EDATE(A15,1),'Settings &amp; Assumptions'!$B$6+1),Transactions[currency],"EUR",Transactions[duplicate_status],""))</x:f>
        <x:v>n.b.</x:v>
      </x:c>
      <x:c r="G15" s="15" t="str">
        <x:f>IF(COUNT(B15,D15)&lt;2,"n.b.",IF(B15=0,"n.b.",D15/B15))</x:f>
        <x:v>n.b.</x:v>
      </x:c>
      <x:c r="H15" s="2"/>
      <x:c r="I15" s="2"/>
      <x:c r="J15" s="2"/>
      <x:c r="K15" s="2"/>
      <x:c r="L15" s="2"/>
      <x:c r="M15" s="2" t="str">
        <x:f>IF(OR(NOT(ISNUMBER(B15)),K15="",K15&lt;=0),"n.b.",B15/K15)</x:f>
        <x:v>n.b.</x:v>
      </x:c>
      <x:c r="N15" s="2" t="str">
        <x:f>IF(OR(NOT(ISNUMBER(B15)),L15="",L15&lt;=0),"n.b.",B15/L15)</x:f>
        <x:v>n.b.</x:v>
      </x:c>
      <x:c r="O15" s="2" t="str">
        <x:f>TEXT(A15,"mmm yy")</x:f>
        <x:v>Aug 26</x:v>
      </x:c>
      <x:c r="P15" s="2" t="str">
        <x:f>IF(NOT(ISNUMBER(E15)),"n.b.",SUMIFS(Transactions[amount],Transactions[include_in_totals],1,Transactions[account_type],"private",Transactions[booking_date],"&gt;="&amp;A15,Transactions[booking_date],"&lt;"&amp;EDATE(A15,1),Transactions[currency],"EUR",Transactions[duplicate_status],""))</x:f>
        <x:v>n.b.</x:v>
      </x:c>
      <x:c r="Q15" s="2" t="str">
        <x:f>IF(COUNT(P15,E15)&lt;2,"n.b.",P15+E15)</x:f>
        <x:v>n.b.</x:v>
      </x:c>
      <x:c r="R15" s="15" t="str">
        <x:f>IF(OR(NOT(ISNUMBER(Q15)),Q15&lt;=0),"n.b.",P15/Q15)</x:f>
        <x:v>n.b.</x:v>
      </x:c>
      <x:c r="S15" s="2" t="str">
        <x:f>IF(ISNUMBER(P15),IF(ISNUMBER(S14),S14+P15,P15),"n.b.")</x:f>
        <x:v>n.b.</x:v>
      </x:c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14" t="n">
        <x:v>46266</x:v>
      </x:c>
      <x:c r="B16" s="12" t="str">
        <x:f>IF(OR('Settings &amp; Assumptions'!$G$14&lt;&gt;1,A16&gt;'Settings &amp; Assumptions'!$B$6),"n.b.",SUMIFS(Invoices[amount_excl],Invoices[date],"&gt;="&amp;A16,Invoices[date],"&lt;"&amp;MIN(EDATE(A16,1),'Settings &amp; Assumptions'!$B$6+1),Invoices[status],"&lt;&gt;concept",Invoices[status],"&lt;&gt;geannuleerd"))</x:f>
        <x:v>n.b.</x:v>
      </x:c>
      <x:c r="C16" s="12" t="str">
        <x:f>IF(OR('Settings &amp; Assumptions'!$G$15&lt;&gt;1,A16&gt;'Settings &amp; Assumptions'!$B$6),"n.b.",SUMIFS(Expenses[amount_excl],Expenses[date],"&gt;="&amp;A16,Expenses[date],"&lt;"&amp;MIN(EDATE(A16,1),'Settings &amp; Assumptions'!$B$6+1),Expenses[capital_asset],"no"))</x:f>
        <x:v>n.b.</x:v>
      </x:c>
      <x:c r="D16" s="12" t="str">
        <x:f>IF(COUNT(B16:C16)&lt;2,"n.b.",B16-C16)</x:f>
        <x:v>n.b.</x:v>
      </x:c>
      <x:c r="E16" s="12" t="str">
        <x:f>IF(OR('Settings &amp; Assumptions'!$G$13&lt;&gt;1,A16&gt;'Settings &amp; Assumptions'!$B$6,'Settings &amp; Assumptions'!$B$13&gt;A16,'Settings &amp; Assumptions'!$B$14&lt;MIN(EDATE(A16,1)-1,'Settings &amp; Assumptions'!$B$6),NOT(ISNUMBER('Settings &amp; Assumptions'!$B$13)),NOT(ISNUMBER('Settings &amp; Assumptions'!$B$14))),"n.b.",-SUMIFS(Transactions[amount],Transactions[include_in_totals],1,Transactions[booking_date],"&gt;="&amp;A16,Transactions[booking_date],"&lt;"&amp;MIN(EDATE(A16,1),'Settings &amp; Assumptions'!$B$6+1),Transactions[classification],"private",Transactions[amount],"&lt;0",Transactions[currency],"EUR",Transactions[duplicate_status],""))</x:f>
        <x:v>n.b.</x:v>
      </x:c>
      <x:c r="F16" s="12" t="str">
        <x:f>IF(OR('Settings &amp; Assumptions'!$G$13&lt;&gt;1,A16&gt;'Settings &amp; Assumptions'!$B$6,'Settings &amp; Assumptions'!$B$13&gt;A16,'Settings &amp; Assumptions'!$B$14&lt;MIN(EDATE(A16,1)-1,'Settings &amp; Assumptions'!$B$6),NOT(ISNUMBER('Settings &amp; Assumptions'!$B$13)),NOT(ISNUMBER('Settings &amp; Assumptions'!$B$14))),"n.b.",SUMIFS(Transactions[amount],Transactions[include_in_totals],1,Transactions[booking_date],"&gt;="&amp;A16,Transactions[booking_date],"&lt;"&amp;MIN(EDATE(A16,1),'Settings &amp; Assumptions'!$B$6+1),Transactions[currency],"EUR",Transactions[duplicate_status],""))</x:f>
        <x:v>n.b.</x:v>
      </x:c>
      <x:c r="G16" s="15" t="str">
        <x:f>IF(COUNT(B16,D16)&lt;2,"n.b.",IF(B16=0,"n.b.",D16/B16))</x:f>
        <x:v>n.b.</x:v>
      </x:c>
      <x:c r="H16" s="2"/>
      <x:c r="I16" s="2"/>
      <x:c r="J16" s="2"/>
      <x:c r="K16" s="2"/>
      <x:c r="L16" s="2"/>
      <x:c r="M16" s="2" t="str">
        <x:f>IF(OR(NOT(ISNUMBER(B16)),K16="",K16&lt;=0),"n.b.",B16/K16)</x:f>
        <x:v>n.b.</x:v>
      </x:c>
      <x:c r="N16" s="2" t="str">
        <x:f>IF(OR(NOT(ISNUMBER(B16)),L16="",L16&lt;=0),"n.b.",B16/L16)</x:f>
        <x:v>n.b.</x:v>
      </x:c>
      <x:c r="O16" s="2" t="str">
        <x:f>TEXT(A16,"mmm yy")</x:f>
        <x:v>Sep 26</x:v>
      </x:c>
      <x:c r="P16" s="2" t="str">
        <x:f>IF(NOT(ISNUMBER(E16)),"n.b.",SUMIFS(Transactions[amount],Transactions[include_in_totals],1,Transactions[account_type],"private",Transactions[booking_date],"&gt;="&amp;A16,Transactions[booking_date],"&lt;"&amp;EDATE(A16,1),Transactions[currency],"EUR",Transactions[duplicate_status],""))</x:f>
        <x:v>n.b.</x:v>
      </x:c>
      <x:c r="Q16" s="2" t="str">
        <x:f>IF(COUNT(P16,E16)&lt;2,"n.b.",P16+E16)</x:f>
        <x:v>n.b.</x:v>
      </x:c>
      <x:c r="R16" s="15" t="str">
        <x:f>IF(OR(NOT(ISNUMBER(Q16)),Q16&lt;=0),"n.b.",P16/Q16)</x:f>
        <x:v>n.b.</x:v>
      </x:c>
      <x:c r="S16" s="2" t="str">
        <x:f>IF(ISNUMBER(P16),IF(ISNUMBER(S15),S15+P16,P16),"n.b.")</x:f>
        <x:v>n.b.</x:v>
      </x:c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14" t="n">
        <x:v>46296</x:v>
      </x:c>
      <x:c r="B17" s="12" t="str">
        <x:f>IF(OR('Settings &amp; Assumptions'!$G$14&lt;&gt;1,A17&gt;'Settings &amp; Assumptions'!$B$6),"n.b.",SUMIFS(Invoices[amount_excl],Invoices[date],"&gt;="&amp;A17,Invoices[date],"&lt;"&amp;MIN(EDATE(A17,1),'Settings &amp; Assumptions'!$B$6+1),Invoices[status],"&lt;&gt;concept",Invoices[status],"&lt;&gt;geannuleerd"))</x:f>
        <x:v>n.b.</x:v>
      </x:c>
      <x:c r="C17" s="12" t="str">
        <x:f>IF(OR('Settings &amp; Assumptions'!$G$15&lt;&gt;1,A17&gt;'Settings &amp; Assumptions'!$B$6),"n.b.",SUMIFS(Expenses[amount_excl],Expenses[date],"&gt;="&amp;A17,Expenses[date],"&lt;"&amp;MIN(EDATE(A17,1),'Settings &amp; Assumptions'!$B$6+1),Expenses[capital_asset],"no"))</x:f>
        <x:v>n.b.</x:v>
      </x:c>
      <x:c r="D17" s="12" t="str">
        <x:f>IF(COUNT(B17:C17)&lt;2,"n.b.",B17-C17)</x:f>
        <x:v>n.b.</x:v>
      </x:c>
      <x:c r="E17" s="12" t="str">
        <x:f>IF(OR('Settings &amp; Assumptions'!$G$13&lt;&gt;1,A17&gt;'Settings &amp; Assumptions'!$B$6,'Settings &amp; Assumptions'!$B$13&gt;A17,'Settings &amp; Assumptions'!$B$14&lt;MIN(EDATE(A17,1)-1,'Settings &amp; Assumptions'!$B$6),NOT(ISNUMBER('Settings &amp; Assumptions'!$B$13)),NOT(ISNUMBER('Settings &amp; Assumptions'!$B$14))),"n.b.",-SUMIFS(Transactions[amount],Transactions[include_in_totals],1,Transactions[booking_date],"&gt;="&amp;A17,Transactions[booking_date],"&lt;"&amp;MIN(EDATE(A17,1),'Settings &amp; Assumptions'!$B$6+1),Transactions[classification],"private",Transactions[amount],"&lt;0",Transactions[currency],"EUR",Transactions[duplicate_status],""))</x:f>
        <x:v>n.b.</x:v>
      </x:c>
      <x:c r="F17" s="12" t="str">
        <x:f>IF(OR('Settings &amp; Assumptions'!$G$13&lt;&gt;1,A17&gt;'Settings &amp; Assumptions'!$B$6,'Settings &amp; Assumptions'!$B$13&gt;A17,'Settings &amp; Assumptions'!$B$14&lt;MIN(EDATE(A17,1)-1,'Settings &amp; Assumptions'!$B$6),NOT(ISNUMBER('Settings &amp; Assumptions'!$B$13)),NOT(ISNUMBER('Settings &amp; Assumptions'!$B$14))),"n.b.",SUMIFS(Transactions[amount],Transactions[include_in_totals],1,Transactions[booking_date],"&gt;="&amp;A17,Transactions[booking_date],"&lt;"&amp;MIN(EDATE(A17,1),'Settings &amp; Assumptions'!$B$6+1),Transactions[currency],"EUR",Transactions[duplicate_status],""))</x:f>
        <x:v>n.b.</x:v>
      </x:c>
      <x:c r="G17" s="15" t="str">
        <x:f>IF(COUNT(B17,D17)&lt;2,"n.b.",IF(B17=0,"n.b.",D17/B17))</x:f>
        <x:v>n.b.</x:v>
      </x:c>
      <x:c r="H17" s="2"/>
      <x:c r="I17" s="2"/>
      <x:c r="J17" s="2"/>
      <x:c r="K17" s="2"/>
      <x:c r="L17" s="2"/>
      <x:c r="M17" s="2" t="str">
        <x:f>IF(OR(NOT(ISNUMBER(B17)),K17="",K17&lt;=0),"n.b.",B17/K17)</x:f>
        <x:v>n.b.</x:v>
      </x:c>
      <x:c r="N17" s="2" t="str">
        <x:f>IF(OR(NOT(ISNUMBER(B17)),L17="",L17&lt;=0),"n.b.",B17/L17)</x:f>
        <x:v>n.b.</x:v>
      </x:c>
      <x:c r="O17" s="2" t="str">
        <x:f>TEXT(A17,"mmm yy")</x:f>
        <x:v>Oct 26</x:v>
      </x:c>
      <x:c r="P17" s="2" t="str">
        <x:f>IF(NOT(ISNUMBER(E17)),"n.b.",SUMIFS(Transactions[amount],Transactions[include_in_totals],1,Transactions[account_type],"private",Transactions[booking_date],"&gt;="&amp;A17,Transactions[booking_date],"&lt;"&amp;EDATE(A17,1),Transactions[currency],"EUR",Transactions[duplicate_status],""))</x:f>
        <x:v>n.b.</x:v>
      </x:c>
      <x:c r="Q17" s="2" t="str">
        <x:f>IF(COUNT(P17,E17)&lt;2,"n.b.",P17+E17)</x:f>
        <x:v>n.b.</x:v>
      </x:c>
      <x:c r="R17" s="15" t="str">
        <x:f>IF(OR(NOT(ISNUMBER(Q17)),Q17&lt;=0),"n.b.",P17/Q17)</x:f>
        <x:v>n.b.</x:v>
      </x:c>
      <x:c r="S17" s="2" t="str">
        <x:f>IF(ISNUMBER(P17),IF(ISNUMBER(S16),S16+P17,P17),"n.b.")</x:f>
        <x:v>n.b.</x:v>
      </x:c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14" t="n">
        <x:v>46327</x:v>
      </x:c>
      <x:c r="B18" s="12" t="str">
        <x:f>IF(OR('Settings &amp; Assumptions'!$G$14&lt;&gt;1,A18&gt;'Settings &amp; Assumptions'!$B$6),"n.b.",SUMIFS(Invoices[amount_excl],Invoices[date],"&gt;="&amp;A18,Invoices[date],"&lt;"&amp;MIN(EDATE(A18,1),'Settings &amp; Assumptions'!$B$6+1),Invoices[status],"&lt;&gt;concept",Invoices[status],"&lt;&gt;geannuleerd"))</x:f>
        <x:v>n.b.</x:v>
      </x:c>
      <x:c r="C18" s="12" t="str">
        <x:f>IF(OR('Settings &amp; Assumptions'!$G$15&lt;&gt;1,A18&gt;'Settings &amp; Assumptions'!$B$6),"n.b.",SUMIFS(Expenses[amount_excl],Expenses[date],"&gt;="&amp;A18,Expenses[date],"&lt;"&amp;MIN(EDATE(A18,1),'Settings &amp; Assumptions'!$B$6+1),Expenses[capital_asset],"no"))</x:f>
        <x:v>n.b.</x:v>
      </x:c>
      <x:c r="D18" s="12" t="str">
        <x:f>IF(COUNT(B18:C18)&lt;2,"n.b.",B18-C18)</x:f>
        <x:v>n.b.</x:v>
      </x:c>
      <x:c r="E18" s="12" t="str">
        <x:f>IF(OR('Settings &amp; Assumptions'!$G$13&lt;&gt;1,A18&gt;'Settings &amp; Assumptions'!$B$6,'Settings &amp; Assumptions'!$B$13&gt;A18,'Settings &amp; Assumptions'!$B$14&lt;MIN(EDATE(A18,1)-1,'Settings &amp; Assumptions'!$B$6),NOT(ISNUMBER('Settings &amp; Assumptions'!$B$13)),NOT(ISNUMBER('Settings &amp; Assumptions'!$B$14))),"n.b.",-SUMIFS(Transactions[amount],Transactions[include_in_totals],1,Transactions[booking_date],"&gt;="&amp;A18,Transactions[booking_date],"&lt;"&amp;MIN(EDATE(A18,1),'Settings &amp; Assumptions'!$B$6+1),Transactions[classification],"private",Transactions[amount],"&lt;0",Transactions[currency],"EUR",Transactions[duplicate_status],""))</x:f>
        <x:v>n.b.</x:v>
      </x:c>
      <x:c r="F18" s="12" t="str">
        <x:f>IF(OR('Settings &amp; Assumptions'!$G$13&lt;&gt;1,A18&gt;'Settings &amp; Assumptions'!$B$6,'Settings &amp; Assumptions'!$B$13&gt;A18,'Settings &amp; Assumptions'!$B$14&lt;MIN(EDATE(A18,1)-1,'Settings &amp; Assumptions'!$B$6),NOT(ISNUMBER('Settings &amp; Assumptions'!$B$13)),NOT(ISNUMBER('Settings &amp; Assumptions'!$B$14))),"n.b.",SUMIFS(Transactions[amount],Transactions[include_in_totals],1,Transactions[booking_date],"&gt;="&amp;A18,Transactions[booking_date],"&lt;"&amp;MIN(EDATE(A18,1),'Settings &amp; Assumptions'!$B$6+1),Transactions[currency],"EUR",Transactions[duplicate_status],""))</x:f>
        <x:v>n.b.</x:v>
      </x:c>
      <x:c r="G18" s="15" t="str">
        <x:f>IF(COUNT(B18,D18)&lt;2,"n.b.",IF(B18=0,"n.b.",D18/B18))</x:f>
        <x:v>n.b.</x:v>
      </x:c>
      <x:c r="H18" s="2"/>
      <x:c r="I18" s="2"/>
      <x:c r="J18" s="2"/>
      <x:c r="K18" s="2"/>
      <x:c r="L18" s="2"/>
      <x:c r="M18" s="2" t="str">
        <x:f>IF(OR(NOT(ISNUMBER(B18)),K18="",K18&lt;=0),"n.b.",B18/K18)</x:f>
        <x:v>n.b.</x:v>
      </x:c>
      <x:c r="N18" s="2" t="str">
        <x:f>IF(OR(NOT(ISNUMBER(B18)),L18="",L18&lt;=0),"n.b.",B18/L18)</x:f>
        <x:v>n.b.</x:v>
      </x:c>
      <x:c r="O18" s="2" t="str">
        <x:f>TEXT(A18,"mmm yy")</x:f>
        <x:v>Nov 26</x:v>
      </x:c>
      <x:c r="P18" s="2" t="str">
        <x:f>IF(NOT(ISNUMBER(E18)),"n.b.",SUMIFS(Transactions[amount],Transactions[include_in_totals],1,Transactions[account_type],"private",Transactions[booking_date],"&gt;="&amp;A18,Transactions[booking_date],"&lt;"&amp;EDATE(A18,1),Transactions[currency],"EUR",Transactions[duplicate_status],""))</x:f>
        <x:v>n.b.</x:v>
      </x:c>
      <x:c r="Q18" s="2" t="str">
        <x:f>IF(COUNT(P18,E18)&lt;2,"n.b.",P18+E18)</x:f>
        <x:v>n.b.</x:v>
      </x:c>
      <x:c r="R18" s="15" t="str">
        <x:f>IF(OR(NOT(ISNUMBER(Q18)),Q18&lt;=0),"n.b.",P18/Q18)</x:f>
        <x:v>n.b.</x:v>
      </x:c>
      <x:c r="S18" s="2" t="str">
        <x:f>IF(ISNUMBER(P18),IF(ISNUMBER(S17),S17+P18,P18),"n.b.")</x:f>
        <x:v>n.b.</x:v>
      </x:c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14" t="n">
        <x:v>46357</x:v>
      </x:c>
      <x:c r="B19" s="12" t="str">
        <x:f>IF(OR('Settings &amp; Assumptions'!$G$14&lt;&gt;1,A19&gt;'Settings &amp; Assumptions'!$B$6),"n.b.",SUMIFS(Invoices[amount_excl],Invoices[date],"&gt;="&amp;A19,Invoices[date],"&lt;"&amp;MIN(EDATE(A19,1),'Settings &amp; Assumptions'!$B$6+1),Invoices[status],"&lt;&gt;concept",Invoices[status],"&lt;&gt;geannuleerd"))</x:f>
        <x:v>n.b.</x:v>
      </x:c>
      <x:c r="C19" s="12" t="str">
        <x:f>IF(OR('Settings &amp; Assumptions'!$G$15&lt;&gt;1,A19&gt;'Settings &amp; Assumptions'!$B$6),"n.b.",SUMIFS(Expenses[amount_excl],Expenses[date],"&gt;="&amp;A19,Expenses[date],"&lt;"&amp;MIN(EDATE(A19,1),'Settings &amp; Assumptions'!$B$6+1),Expenses[capital_asset],"no"))</x:f>
        <x:v>n.b.</x:v>
      </x:c>
      <x:c r="D19" s="12" t="str">
        <x:f>IF(COUNT(B19:C19)&lt;2,"n.b.",B19-C19)</x:f>
        <x:v>n.b.</x:v>
      </x:c>
      <x:c r="E19" s="12" t="str">
        <x:f>IF(OR('Settings &amp; Assumptions'!$G$13&lt;&gt;1,A19&gt;'Settings &amp; Assumptions'!$B$6,'Settings &amp; Assumptions'!$B$13&gt;A19,'Settings &amp; Assumptions'!$B$14&lt;MIN(EDATE(A19,1)-1,'Settings &amp; Assumptions'!$B$6),NOT(ISNUMBER('Settings &amp; Assumptions'!$B$13)),NOT(ISNUMBER('Settings &amp; Assumptions'!$B$14))),"n.b.",-SUMIFS(Transactions[amount],Transactions[include_in_totals],1,Transactions[booking_date],"&gt;="&amp;A19,Transactions[booking_date],"&lt;"&amp;MIN(EDATE(A19,1),'Settings &amp; Assumptions'!$B$6+1),Transactions[classification],"private",Transactions[amount],"&lt;0",Transactions[currency],"EUR",Transactions[duplicate_status],""))</x:f>
        <x:v>n.b.</x:v>
      </x:c>
      <x:c r="F19" s="12" t="str">
        <x:f>IF(OR('Settings &amp; Assumptions'!$G$13&lt;&gt;1,A19&gt;'Settings &amp; Assumptions'!$B$6,'Settings &amp; Assumptions'!$B$13&gt;A19,'Settings &amp; Assumptions'!$B$14&lt;MIN(EDATE(A19,1)-1,'Settings &amp; Assumptions'!$B$6),NOT(ISNUMBER('Settings &amp; Assumptions'!$B$13)),NOT(ISNUMBER('Settings &amp; Assumptions'!$B$14))),"n.b.",SUMIFS(Transactions[amount],Transactions[include_in_totals],1,Transactions[booking_date],"&gt;="&amp;A19,Transactions[booking_date],"&lt;"&amp;MIN(EDATE(A19,1),'Settings &amp; Assumptions'!$B$6+1),Transactions[currency],"EUR",Transactions[duplicate_status],""))</x:f>
        <x:v>n.b.</x:v>
      </x:c>
      <x:c r="G19" s="15" t="str">
        <x:f>IF(COUNT(B19,D19)&lt;2,"n.b.",IF(B19=0,"n.b.",D19/B19))</x:f>
        <x:v>n.b.</x:v>
      </x:c>
      <x:c r="H19" s="2"/>
      <x:c r="I19" s="2"/>
      <x:c r="J19" s="2"/>
      <x:c r="K19" s="2"/>
      <x:c r="L19" s="2"/>
      <x:c r="M19" s="2" t="str">
        <x:f>IF(OR(NOT(ISNUMBER(B19)),K19="",K19&lt;=0),"n.b.",B19/K19)</x:f>
        <x:v>n.b.</x:v>
      </x:c>
      <x:c r="N19" s="2" t="str">
        <x:f>IF(OR(NOT(ISNUMBER(B19)),L19="",L19&lt;=0),"n.b.",B19/L19)</x:f>
        <x:v>n.b.</x:v>
      </x:c>
      <x:c r="O19" s="2" t="str">
        <x:f>TEXT(A19,"mmm yy")</x:f>
        <x:v>Dec 26</x:v>
      </x:c>
      <x:c r="P19" s="2" t="str">
        <x:f>IF(NOT(ISNUMBER(E19)),"n.b.",SUMIFS(Transactions[amount],Transactions[include_in_totals],1,Transactions[account_type],"private",Transactions[booking_date],"&gt;="&amp;A19,Transactions[booking_date],"&lt;"&amp;EDATE(A19,1),Transactions[currency],"EUR",Transactions[duplicate_status],""))</x:f>
        <x:v>n.b.</x:v>
      </x:c>
      <x:c r="Q19" s="2" t="str">
        <x:f>IF(COUNT(P19,E19)&lt;2,"n.b.",P19+E19)</x:f>
        <x:v>n.b.</x:v>
      </x:c>
      <x:c r="R19" s="15" t="str">
        <x:f>IF(OR(NOT(ISNUMBER(Q19)),Q19&lt;=0),"n.b.",P19/Q19)</x:f>
        <x:v>n.b.</x:v>
      </x:c>
      <x:c r="S19" s="2" t="str">
        <x:f>IF(ISNUMBER(P19),IF(ISNUMBER(S18),S18+P19,P19),"n.b.")</x:f>
        <x:v>n.b.</x:v>
      </x:c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14" t="n">
        <x:v>46388</x:v>
      </x:c>
      <x:c r="B20" s="12" t="str">
        <x:f>IF(OR('Settings &amp; Assumptions'!$G$14&lt;&gt;1,A20&gt;'Settings &amp; Assumptions'!$B$6),"n.b.",SUMIFS(Invoices[amount_excl],Invoices[date],"&gt;="&amp;A20,Invoices[date],"&lt;"&amp;MIN(EDATE(A20,1),'Settings &amp; Assumptions'!$B$6+1),Invoices[status],"&lt;&gt;concept",Invoices[status],"&lt;&gt;geannuleerd"))</x:f>
        <x:v>n.b.</x:v>
      </x:c>
      <x:c r="C20" s="12" t="str">
        <x:f>IF(OR('Settings &amp; Assumptions'!$G$15&lt;&gt;1,A20&gt;'Settings &amp; Assumptions'!$B$6),"n.b.",SUMIFS(Expenses[amount_excl],Expenses[date],"&gt;="&amp;A20,Expenses[date],"&lt;"&amp;MIN(EDATE(A20,1),'Settings &amp; Assumptions'!$B$6+1),Expenses[capital_asset],"no"))</x:f>
        <x:v>n.b.</x:v>
      </x:c>
      <x:c r="D20" s="12" t="str">
        <x:f>IF(COUNT(B20:C20)&lt;2,"n.b.",B20-C20)</x:f>
        <x:v>n.b.</x:v>
      </x:c>
      <x:c r="E20" s="12" t="str">
        <x:f>IF(OR('Settings &amp; Assumptions'!$G$13&lt;&gt;1,A20&gt;'Settings &amp; Assumptions'!$B$6,'Settings &amp; Assumptions'!$B$13&gt;A20,'Settings &amp; Assumptions'!$B$14&lt;MIN(EDATE(A20,1)-1,'Settings &amp; Assumptions'!$B$6),NOT(ISNUMBER('Settings &amp; Assumptions'!$B$13)),NOT(ISNUMBER('Settings &amp; Assumptions'!$B$14))),"n.b.",-SUMIFS(Transactions[amount],Transactions[include_in_totals],1,Transactions[booking_date],"&gt;="&amp;A20,Transactions[booking_date],"&lt;"&amp;MIN(EDATE(A20,1),'Settings &amp; Assumptions'!$B$6+1),Transactions[classification],"private",Transactions[amount],"&lt;0",Transactions[currency],"EUR",Transactions[duplicate_status],""))</x:f>
        <x:v>n.b.</x:v>
      </x:c>
      <x:c r="F20" s="12" t="str">
        <x:f>IF(OR('Settings &amp; Assumptions'!$G$13&lt;&gt;1,A20&gt;'Settings &amp; Assumptions'!$B$6,'Settings &amp; Assumptions'!$B$13&gt;A20,'Settings &amp; Assumptions'!$B$14&lt;MIN(EDATE(A20,1)-1,'Settings &amp; Assumptions'!$B$6),NOT(ISNUMBER('Settings &amp; Assumptions'!$B$13)),NOT(ISNUMBER('Settings &amp; Assumptions'!$B$14))),"n.b.",SUMIFS(Transactions[amount],Transactions[include_in_totals],1,Transactions[booking_date],"&gt;="&amp;A20,Transactions[booking_date],"&lt;"&amp;MIN(EDATE(A20,1),'Settings &amp; Assumptions'!$B$6+1),Transactions[currency],"EUR",Transactions[duplicate_status],""))</x:f>
        <x:v>n.b.</x:v>
      </x:c>
      <x:c r="G20" s="15" t="str">
        <x:f>IF(COUNT(B20,D20)&lt;2,"n.b.",IF(B20=0,"n.b.",D20/B20))</x:f>
        <x:v>n.b.</x:v>
      </x:c>
      <x:c r="H20" s="2"/>
      <x:c r="I20" s="2"/>
      <x:c r="J20" s="2"/>
      <x:c r="K20" s="2"/>
      <x:c r="L20" s="2"/>
      <x:c r="M20" s="2" t="str">
        <x:f>IF(OR(NOT(ISNUMBER(B20)),K20="",K20&lt;=0),"n.b.",B20/K20)</x:f>
        <x:v>n.b.</x:v>
      </x:c>
      <x:c r="N20" s="2" t="str">
        <x:f>IF(OR(NOT(ISNUMBER(B20)),L20="",L20&lt;=0),"n.b.",B20/L20)</x:f>
        <x:v>n.b.</x:v>
      </x:c>
      <x:c r="O20" s="2" t="str">
        <x:f>TEXT(A20,"mmm yy")</x:f>
        <x:v>Jan 27</x:v>
      </x:c>
      <x:c r="P20" s="2" t="str">
        <x:f>IF(NOT(ISNUMBER(E20)),"n.b.",SUMIFS(Transactions[amount],Transactions[include_in_totals],1,Transactions[account_type],"private",Transactions[booking_date],"&gt;="&amp;A20,Transactions[booking_date],"&lt;"&amp;EDATE(A20,1),Transactions[currency],"EUR",Transactions[duplicate_status],""))</x:f>
        <x:v>n.b.</x:v>
      </x:c>
      <x:c r="Q20" s="2" t="str">
        <x:f>IF(COUNT(P20,E20)&lt;2,"n.b.",P20+E20)</x:f>
        <x:v>n.b.</x:v>
      </x:c>
      <x:c r="R20" s="15" t="str">
        <x:f>IF(OR(NOT(ISNUMBER(Q20)),Q20&lt;=0),"n.b.",P20/Q20)</x:f>
        <x:v>n.b.</x:v>
      </x:c>
      <x:c r="S20" s="2" t="str">
        <x:f>IF(ISNUMBER(P20),IF(ISNUMBER(S19),S19+P20,P20),"n.b.")</x:f>
        <x:v>n.b.</x:v>
      </x:c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14" t="n">
        <x:v>46419</x:v>
      </x:c>
      <x:c r="B21" s="12" t="str">
        <x:f>IF(OR('Settings &amp; Assumptions'!$G$14&lt;&gt;1,A21&gt;'Settings &amp; Assumptions'!$B$6),"n.b.",SUMIFS(Invoices[amount_excl],Invoices[date],"&gt;="&amp;A21,Invoices[date],"&lt;"&amp;MIN(EDATE(A21,1),'Settings &amp; Assumptions'!$B$6+1),Invoices[status],"&lt;&gt;concept",Invoices[status],"&lt;&gt;geannuleerd"))</x:f>
        <x:v>n.b.</x:v>
      </x:c>
      <x:c r="C21" s="12" t="str">
        <x:f>IF(OR('Settings &amp; Assumptions'!$G$15&lt;&gt;1,A21&gt;'Settings &amp; Assumptions'!$B$6),"n.b.",SUMIFS(Expenses[amount_excl],Expenses[date],"&gt;="&amp;A21,Expenses[date],"&lt;"&amp;MIN(EDATE(A21,1),'Settings &amp; Assumptions'!$B$6+1),Expenses[capital_asset],"no"))</x:f>
        <x:v>n.b.</x:v>
      </x:c>
      <x:c r="D21" s="12" t="str">
        <x:f>IF(COUNT(B21:C21)&lt;2,"n.b.",B21-C21)</x:f>
        <x:v>n.b.</x:v>
      </x:c>
      <x:c r="E21" s="12" t="str">
        <x:f>IF(OR('Settings &amp; Assumptions'!$G$13&lt;&gt;1,A21&gt;'Settings &amp; Assumptions'!$B$6,'Settings &amp; Assumptions'!$B$13&gt;A21,'Settings &amp; Assumptions'!$B$14&lt;MIN(EDATE(A21,1)-1,'Settings &amp; Assumptions'!$B$6),NOT(ISNUMBER('Settings &amp; Assumptions'!$B$13)),NOT(ISNUMBER('Settings &amp; Assumptions'!$B$14))),"n.b.",-SUMIFS(Transactions[amount],Transactions[include_in_totals],1,Transactions[booking_date],"&gt;="&amp;A21,Transactions[booking_date],"&lt;"&amp;MIN(EDATE(A21,1),'Settings &amp; Assumptions'!$B$6+1),Transactions[classification],"private",Transactions[amount],"&lt;0",Transactions[currency],"EUR",Transactions[duplicate_status],""))</x:f>
        <x:v>n.b.</x:v>
      </x:c>
      <x:c r="F21" s="12" t="str">
        <x:f>IF(OR('Settings &amp; Assumptions'!$G$13&lt;&gt;1,A21&gt;'Settings &amp; Assumptions'!$B$6,'Settings &amp; Assumptions'!$B$13&gt;A21,'Settings &amp; Assumptions'!$B$14&lt;MIN(EDATE(A21,1)-1,'Settings &amp; Assumptions'!$B$6),NOT(ISNUMBER('Settings &amp; Assumptions'!$B$13)),NOT(ISNUMBER('Settings &amp; Assumptions'!$B$14))),"n.b.",SUMIFS(Transactions[amount],Transactions[include_in_totals],1,Transactions[booking_date],"&gt;="&amp;A21,Transactions[booking_date],"&lt;"&amp;MIN(EDATE(A21,1),'Settings &amp; Assumptions'!$B$6+1),Transactions[currency],"EUR",Transactions[duplicate_status],""))</x:f>
        <x:v>n.b.</x:v>
      </x:c>
      <x:c r="G21" s="15" t="str">
        <x:f>IF(COUNT(B21,D21)&lt;2,"n.b.",IF(B21=0,"n.b.",D21/B21))</x:f>
        <x:v>n.b.</x:v>
      </x:c>
      <x:c r="H21" s="2"/>
      <x:c r="I21" s="2"/>
      <x:c r="J21" s="2"/>
      <x:c r="K21" s="2"/>
      <x:c r="L21" s="2"/>
      <x:c r="M21" s="2" t="str">
        <x:f>IF(OR(NOT(ISNUMBER(B21)),K21="",K21&lt;=0),"n.b.",B21/K21)</x:f>
        <x:v>n.b.</x:v>
      </x:c>
      <x:c r="N21" s="2" t="str">
        <x:f>IF(OR(NOT(ISNUMBER(B21)),L21="",L21&lt;=0),"n.b.",B21/L21)</x:f>
        <x:v>n.b.</x:v>
      </x:c>
      <x:c r="O21" s="2" t="str">
        <x:f>TEXT(A21,"mmm yy")</x:f>
        <x:v>Feb 27</x:v>
      </x:c>
      <x:c r="P21" s="2" t="str">
        <x:f>IF(NOT(ISNUMBER(E21)),"n.b.",SUMIFS(Transactions[amount],Transactions[include_in_totals],1,Transactions[account_type],"private",Transactions[booking_date],"&gt;="&amp;A21,Transactions[booking_date],"&lt;"&amp;EDATE(A21,1),Transactions[currency],"EUR",Transactions[duplicate_status],""))</x:f>
        <x:v>n.b.</x:v>
      </x:c>
      <x:c r="Q21" s="2" t="str">
        <x:f>IF(COUNT(P21,E21)&lt;2,"n.b.",P21+E21)</x:f>
        <x:v>n.b.</x:v>
      </x:c>
      <x:c r="R21" s="15" t="str">
        <x:f>IF(OR(NOT(ISNUMBER(Q21)),Q21&lt;=0),"n.b.",P21/Q21)</x:f>
        <x:v>n.b.</x:v>
      </x:c>
      <x:c r="S21" s="2" t="str">
        <x:f>IF(ISNUMBER(P21),IF(ISNUMBER(S20),S20+P21,P21),"n.b.")</x:f>
        <x:v>n.b.</x:v>
      </x:c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14" t="n">
        <x:v>46447</x:v>
      </x:c>
      <x:c r="B22" s="12" t="str">
        <x:f>IF(OR('Settings &amp; Assumptions'!$G$14&lt;&gt;1,A22&gt;'Settings &amp; Assumptions'!$B$6),"n.b.",SUMIFS(Invoices[amount_excl],Invoices[date],"&gt;="&amp;A22,Invoices[date],"&lt;"&amp;MIN(EDATE(A22,1),'Settings &amp; Assumptions'!$B$6+1),Invoices[status],"&lt;&gt;concept",Invoices[status],"&lt;&gt;geannuleerd"))</x:f>
        <x:v>n.b.</x:v>
      </x:c>
      <x:c r="C22" s="12" t="str">
        <x:f>IF(OR('Settings &amp; Assumptions'!$G$15&lt;&gt;1,A22&gt;'Settings &amp; Assumptions'!$B$6),"n.b.",SUMIFS(Expenses[amount_excl],Expenses[date],"&gt;="&amp;A22,Expenses[date],"&lt;"&amp;MIN(EDATE(A22,1),'Settings &amp; Assumptions'!$B$6+1),Expenses[capital_asset],"no"))</x:f>
        <x:v>n.b.</x:v>
      </x:c>
      <x:c r="D22" s="12" t="str">
        <x:f>IF(COUNT(B22:C22)&lt;2,"n.b.",B22-C22)</x:f>
        <x:v>n.b.</x:v>
      </x:c>
      <x:c r="E22" s="12" t="str">
        <x:f>IF(OR('Settings &amp; Assumptions'!$G$13&lt;&gt;1,A22&gt;'Settings &amp; Assumptions'!$B$6,'Settings &amp; Assumptions'!$B$13&gt;A22,'Settings &amp; Assumptions'!$B$14&lt;MIN(EDATE(A22,1)-1,'Settings &amp; Assumptions'!$B$6),NOT(ISNUMBER('Settings &amp; Assumptions'!$B$13)),NOT(ISNUMBER('Settings &amp; Assumptions'!$B$14))),"n.b.",-SUMIFS(Transactions[amount],Transactions[include_in_totals],1,Transactions[booking_date],"&gt;="&amp;A22,Transactions[booking_date],"&lt;"&amp;MIN(EDATE(A22,1),'Settings &amp; Assumptions'!$B$6+1),Transactions[classification],"private",Transactions[amount],"&lt;0",Transactions[currency],"EUR",Transactions[duplicate_status],""))</x:f>
        <x:v>n.b.</x:v>
      </x:c>
      <x:c r="F22" s="12" t="str">
        <x:f>IF(OR('Settings &amp; Assumptions'!$G$13&lt;&gt;1,A22&gt;'Settings &amp; Assumptions'!$B$6,'Settings &amp; Assumptions'!$B$13&gt;A22,'Settings &amp; Assumptions'!$B$14&lt;MIN(EDATE(A22,1)-1,'Settings &amp; Assumptions'!$B$6),NOT(ISNUMBER('Settings &amp; Assumptions'!$B$13)),NOT(ISNUMBER('Settings &amp; Assumptions'!$B$14))),"n.b.",SUMIFS(Transactions[amount],Transactions[include_in_totals],1,Transactions[booking_date],"&gt;="&amp;A22,Transactions[booking_date],"&lt;"&amp;MIN(EDATE(A22,1),'Settings &amp; Assumptions'!$B$6+1),Transactions[currency],"EUR",Transactions[duplicate_status],""))</x:f>
        <x:v>n.b.</x:v>
      </x:c>
      <x:c r="G22" s="15" t="str">
        <x:f>IF(COUNT(B22,D22)&lt;2,"n.b.",IF(B22=0,"n.b.",D22/B22))</x:f>
        <x:v>n.b.</x:v>
      </x:c>
      <x:c r="H22" s="2"/>
      <x:c r="I22" s="2"/>
      <x:c r="J22" s="2"/>
      <x:c r="K22" s="2"/>
      <x:c r="L22" s="2"/>
      <x:c r="M22" s="2" t="str">
        <x:f>IF(OR(NOT(ISNUMBER(B22)),K22="",K22&lt;=0),"n.b.",B22/K22)</x:f>
        <x:v>n.b.</x:v>
      </x:c>
      <x:c r="N22" s="2" t="str">
        <x:f>IF(OR(NOT(ISNUMBER(B22)),L22="",L22&lt;=0),"n.b.",B22/L22)</x:f>
        <x:v>n.b.</x:v>
      </x:c>
      <x:c r="O22" s="2" t="str">
        <x:f>TEXT(A22,"mmm yy")</x:f>
        <x:v>Mar 27</x:v>
      </x:c>
      <x:c r="P22" s="2" t="str">
        <x:f>IF(NOT(ISNUMBER(E22)),"n.b.",SUMIFS(Transactions[amount],Transactions[include_in_totals],1,Transactions[account_type],"private",Transactions[booking_date],"&gt;="&amp;A22,Transactions[booking_date],"&lt;"&amp;EDATE(A22,1),Transactions[currency],"EUR",Transactions[duplicate_status],""))</x:f>
        <x:v>n.b.</x:v>
      </x:c>
      <x:c r="Q22" s="2" t="str">
        <x:f>IF(COUNT(P22,E22)&lt;2,"n.b.",P22+E22)</x:f>
        <x:v>n.b.</x:v>
      </x:c>
      <x:c r="R22" s="15" t="str">
        <x:f>IF(OR(NOT(ISNUMBER(Q22)),Q22&lt;=0),"n.b.",P22/Q22)</x:f>
        <x:v>n.b.</x:v>
      </x:c>
      <x:c r="S22" s="2" t="str">
        <x:f>IF(ISNUMBER(P22),IF(ISNUMBER(S21),S21+P22,P22),"n.b.")</x:f>
        <x:v>n.b.</x:v>
      </x:c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14" t="n">
        <x:v>46478</x:v>
      </x:c>
      <x:c r="B23" s="12" t="str">
        <x:f>IF(OR('Settings &amp; Assumptions'!$G$14&lt;&gt;1,A23&gt;'Settings &amp; Assumptions'!$B$6),"n.b.",SUMIFS(Invoices[amount_excl],Invoices[date],"&gt;="&amp;A23,Invoices[date],"&lt;"&amp;MIN(EDATE(A23,1),'Settings &amp; Assumptions'!$B$6+1),Invoices[status],"&lt;&gt;concept",Invoices[status],"&lt;&gt;geannuleerd"))</x:f>
        <x:v>n.b.</x:v>
      </x:c>
      <x:c r="C23" s="12" t="str">
        <x:f>IF(OR('Settings &amp; Assumptions'!$G$15&lt;&gt;1,A23&gt;'Settings &amp; Assumptions'!$B$6),"n.b.",SUMIFS(Expenses[amount_excl],Expenses[date],"&gt;="&amp;A23,Expenses[date],"&lt;"&amp;MIN(EDATE(A23,1),'Settings &amp; Assumptions'!$B$6+1),Expenses[capital_asset],"no"))</x:f>
        <x:v>n.b.</x:v>
      </x:c>
      <x:c r="D23" s="12" t="str">
        <x:f>IF(COUNT(B23:C23)&lt;2,"n.b.",B23-C23)</x:f>
        <x:v>n.b.</x:v>
      </x:c>
      <x:c r="E23" s="12" t="str">
        <x:f>IF(OR('Settings &amp; Assumptions'!$G$13&lt;&gt;1,A23&gt;'Settings &amp; Assumptions'!$B$6,'Settings &amp; Assumptions'!$B$13&gt;A23,'Settings &amp; Assumptions'!$B$14&lt;MIN(EDATE(A23,1)-1,'Settings &amp; Assumptions'!$B$6),NOT(ISNUMBER('Settings &amp; Assumptions'!$B$13)),NOT(ISNUMBER('Settings &amp; Assumptions'!$B$14))),"n.b.",-SUMIFS(Transactions[amount],Transactions[include_in_totals],1,Transactions[booking_date],"&gt;="&amp;A23,Transactions[booking_date],"&lt;"&amp;MIN(EDATE(A23,1),'Settings &amp; Assumptions'!$B$6+1),Transactions[classification],"private",Transactions[amount],"&lt;0",Transactions[currency],"EUR",Transactions[duplicate_status],""))</x:f>
        <x:v>n.b.</x:v>
      </x:c>
      <x:c r="F23" s="12" t="str">
        <x:f>IF(OR('Settings &amp; Assumptions'!$G$13&lt;&gt;1,A23&gt;'Settings &amp; Assumptions'!$B$6,'Settings &amp; Assumptions'!$B$13&gt;A23,'Settings &amp; Assumptions'!$B$14&lt;MIN(EDATE(A23,1)-1,'Settings &amp; Assumptions'!$B$6),NOT(ISNUMBER('Settings &amp; Assumptions'!$B$13)),NOT(ISNUMBER('Settings &amp; Assumptions'!$B$14))),"n.b.",SUMIFS(Transactions[amount],Transactions[include_in_totals],1,Transactions[booking_date],"&gt;="&amp;A23,Transactions[booking_date],"&lt;"&amp;MIN(EDATE(A23,1),'Settings &amp; Assumptions'!$B$6+1),Transactions[currency],"EUR",Transactions[duplicate_status],""))</x:f>
        <x:v>n.b.</x:v>
      </x:c>
      <x:c r="G23" s="15" t="str">
        <x:f>IF(COUNT(B23,D23)&lt;2,"n.b.",IF(B23=0,"n.b.",D23/B23))</x:f>
        <x:v>n.b.</x:v>
      </x:c>
      <x:c r="H23" s="2"/>
      <x:c r="I23" s="2"/>
      <x:c r="J23" s="2"/>
      <x:c r="K23" s="2"/>
      <x:c r="L23" s="2"/>
      <x:c r="M23" s="2" t="str">
        <x:f>IF(OR(NOT(ISNUMBER(B23)),K23="",K23&lt;=0),"n.b.",B23/K23)</x:f>
        <x:v>n.b.</x:v>
      </x:c>
      <x:c r="N23" s="2" t="str">
        <x:f>IF(OR(NOT(ISNUMBER(B23)),L23="",L23&lt;=0),"n.b.",B23/L23)</x:f>
        <x:v>n.b.</x:v>
      </x:c>
      <x:c r="O23" s="2" t="str">
        <x:f>TEXT(A23,"mmm yy")</x:f>
        <x:v>Apr 27</x:v>
      </x:c>
      <x:c r="P23" s="2" t="str">
        <x:f>IF(NOT(ISNUMBER(E23)),"n.b.",SUMIFS(Transactions[amount],Transactions[include_in_totals],1,Transactions[account_type],"private",Transactions[booking_date],"&gt;="&amp;A23,Transactions[booking_date],"&lt;"&amp;EDATE(A23,1),Transactions[currency],"EUR",Transactions[duplicate_status],""))</x:f>
        <x:v>n.b.</x:v>
      </x:c>
      <x:c r="Q23" s="2" t="str">
        <x:f>IF(COUNT(P23,E23)&lt;2,"n.b.",P23+E23)</x:f>
        <x:v>n.b.</x:v>
      </x:c>
      <x:c r="R23" s="15" t="str">
        <x:f>IF(OR(NOT(ISNUMBER(Q23)),Q23&lt;=0),"n.b.",P23/Q23)</x:f>
        <x:v>n.b.</x:v>
      </x:c>
      <x:c r="S23" s="2" t="str">
        <x:f>IF(ISNUMBER(P23),IF(ISNUMBER(S22),S22+P23,P23),"n.b.")</x:f>
        <x:v>n.b.</x:v>
      </x:c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14" t="n">
        <x:v>46508</x:v>
      </x:c>
      <x:c r="B24" s="12" t="str">
        <x:f>IF(OR('Settings &amp; Assumptions'!$G$14&lt;&gt;1,A24&gt;'Settings &amp; Assumptions'!$B$6),"n.b.",SUMIFS(Invoices[amount_excl],Invoices[date],"&gt;="&amp;A24,Invoices[date],"&lt;"&amp;MIN(EDATE(A24,1),'Settings &amp; Assumptions'!$B$6+1),Invoices[status],"&lt;&gt;concept",Invoices[status],"&lt;&gt;geannuleerd"))</x:f>
        <x:v>n.b.</x:v>
      </x:c>
      <x:c r="C24" s="12" t="str">
        <x:f>IF(OR('Settings &amp; Assumptions'!$G$15&lt;&gt;1,A24&gt;'Settings &amp; Assumptions'!$B$6),"n.b.",SUMIFS(Expenses[amount_excl],Expenses[date],"&gt;="&amp;A24,Expenses[date],"&lt;"&amp;MIN(EDATE(A24,1),'Settings &amp; Assumptions'!$B$6+1),Expenses[capital_asset],"no"))</x:f>
        <x:v>n.b.</x:v>
      </x:c>
      <x:c r="D24" s="12" t="str">
        <x:f>IF(COUNT(B24:C24)&lt;2,"n.b.",B24-C24)</x:f>
        <x:v>n.b.</x:v>
      </x:c>
      <x:c r="E24" s="12" t="str">
        <x:f>IF(OR('Settings &amp; Assumptions'!$G$13&lt;&gt;1,A24&gt;'Settings &amp; Assumptions'!$B$6,'Settings &amp; Assumptions'!$B$13&gt;A24,'Settings &amp; Assumptions'!$B$14&lt;MIN(EDATE(A24,1)-1,'Settings &amp; Assumptions'!$B$6),NOT(ISNUMBER('Settings &amp; Assumptions'!$B$13)),NOT(ISNUMBER('Settings &amp; Assumptions'!$B$14))),"n.b.",-SUMIFS(Transactions[amount],Transactions[include_in_totals],1,Transactions[booking_date],"&gt;="&amp;A24,Transactions[booking_date],"&lt;"&amp;MIN(EDATE(A24,1),'Settings &amp; Assumptions'!$B$6+1),Transactions[classification],"private",Transactions[amount],"&lt;0",Transactions[currency],"EUR",Transactions[duplicate_status],""))</x:f>
        <x:v>n.b.</x:v>
      </x:c>
      <x:c r="F24" s="12" t="str">
        <x:f>IF(OR('Settings &amp; Assumptions'!$G$13&lt;&gt;1,A24&gt;'Settings &amp; Assumptions'!$B$6,'Settings &amp; Assumptions'!$B$13&gt;A24,'Settings &amp; Assumptions'!$B$14&lt;MIN(EDATE(A24,1)-1,'Settings &amp; Assumptions'!$B$6),NOT(ISNUMBER('Settings &amp; Assumptions'!$B$13)),NOT(ISNUMBER('Settings &amp; Assumptions'!$B$14))),"n.b.",SUMIFS(Transactions[amount],Transactions[include_in_totals],1,Transactions[booking_date],"&gt;="&amp;A24,Transactions[booking_date],"&lt;"&amp;MIN(EDATE(A24,1),'Settings &amp; Assumptions'!$B$6+1),Transactions[currency],"EUR",Transactions[duplicate_status],""))</x:f>
        <x:v>n.b.</x:v>
      </x:c>
      <x:c r="G24" s="15" t="str">
        <x:f>IF(COUNT(B24,D24)&lt;2,"n.b.",IF(B24=0,"n.b.",D24/B24))</x:f>
        <x:v>n.b.</x:v>
      </x:c>
      <x:c r="H24" s="2"/>
      <x:c r="I24" s="2"/>
      <x:c r="J24" s="2"/>
      <x:c r="K24" s="2"/>
      <x:c r="L24" s="2"/>
      <x:c r="M24" s="2" t="str">
        <x:f>IF(OR(NOT(ISNUMBER(B24)),K24="",K24&lt;=0),"n.b.",B24/K24)</x:f>
        <x:v>n.b.</x:v>
      </x:c>
      <x:c r="N24" s="2" t="str">
        <x:f>IF(OR(NOT(ISNUMBER(B24)),L24="",L24&lt;=0),"n.b.",B24/L24)</x:f>
        <x:v>n.b.</x:v>
      </x:c>
      <x:c r="O24" s="2" t="str">
        <x:f>TEXT(A24,"mmm yy")</x:f>
        <x:v>May 27</x:v>
      </x:c>
      <x:c r="P24" s="2" t="str">
        <x:f>IF(NOT(ISNUMBER(E24)),"n.b.",SUMIFS(Transactions[amount],Transactions[include_in_totals],1,Transactions[account_type],"private",Transactions[booking_date],"&gt;="&amp;A24,Transactions[booking_date],"&lt;"&amp;EDATE(A24,1),Transactions[currency],"EUR",Transactions[duplicate_status],""))</x:f>
        <x:v>n.b.</x:v>
      </x:c>
      <x:c r="Q24" s="2" t="str">
        <x:f>IF(COUNT(P24,E24)&lt;2,"n.b.",P24+E24)</x:f>
        <x:v>n.b.</x:v>
      </x:c>
      <x:c r="R24" s="15" t="str">
        <x:f>IF(OR(NOT(ISNUMBER(Q24)),Q24&lt;=0),"n.b.",P24/Q24)</x:f>
        <x:v>n.b.</x:v>
      </x:c>
      <x:c r="S24" s="2" t="str">
        <x:f>IF(ISNUMBER(P24),IF(ISNUMBER(S23),S23+P24,P24),"n.b.")</x:f>
        <x:v>n.b.</x:v>
      </x:c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14" t="n">
        <x:v>46539</x:v>
      </x:c>
      <x:c r="B25" s="12" t="str">
        <x:f>IF(OR('Settings &amp; Assumptions'!$G$14&lt;&gt;1,A25&gt;'Settings &amp; Assumptions'!$B$6),"n.b.",SUMIFS(Invoices[amount_excl],Invoices[date],"&gt;="&amp;A25,Invoices[date],"&lt;"&amp;MIN(EDATE(A25,1),'Settings &amp; Assumptions'!$B$6+1),Invoices[status],"&lt;&gt;concept",Invoices[status],"&lt;&gt;geannuleerd"))</x:f>
        <x:v>n.b.</x:v>
      </x:c>
      <x:c r="C25" s="12" t="str">
        <x:f>IF(OR('Settings &amp; Assumptions'!$G$15&lt;&gt;1,A25&gt;'Settings &amp; Assumptions'!$B$6),"n.b.",SUMIFS(Expenses[amount_excl],Expenses[date],"&gt;="&amp;A25,Expenses[date],"&lt;"&amp;MIN(EDATE(A25,1),'Settings &amp; Assumptions'!$B$6+1),Expenses[capital_asset],"no"))</x:f>
        <x:v>n.b.</x:v>
      </x:c>
      <x:c r="D25" s="12" t="str">
        <x:f>IF(COUNT(B25:C25)&lt;2,"n.b.",B25-C25)</x:f>
        <x:v>n.b.</x:v>
      </x:c>
      <x:c r="E25" s="12" t="str">
        <x:f>IF(OR('Settings &amp; Assumptions'!$G$13&lt;&gt;1,A25&gt;'Settings &amp; Assumptions'!$B$6,'Settings &amp; Assumptions'!$B$13&gt;A25,'Settings &amp; Assumptions'!$B$14&lt;MIN(EDATE(A25,1)-1,'Settings &amp; Assumptions'!$B$6),NOT(ISNUMBER('Settings &amp; Assumptions'!$B$13)),NOT(ISNUMBER('Settings &amp; Assumptions'!$B$14))),"n.b.",-SUMIFS(Transactions[amount],Transactions[include_in_totals],1,Transactions[booking_date],"&gt;="&amp;A25,Transactions[booking_date],"&lt;"&amp;MIN(EDATE(A25,1),'Settings &amp; Assumptions'!$B$6+1),Transactions[classification],"private",Transactions[amount],"&lt;0",Transactions[currency],"EUR",Transactions[duplicate_status],""))</x:f>
        <x:v>n.b.</x:v>
      </x:c>
      <x:c r="F25" s="12" t="str">
        <x:f>IF(OR('Settings &amp; Assumptions'!$G$13&lt;&gt;1,A25&gt;'Settings &amp; Assumptions'!$B$6,'Settings &amp; Assumptions'!$B$13&gt;A25,'Settings &amp; Assumptions'!$B$14&lt;MIN(EDATE(A25,1)-1,'Settings &amp; Assumptions'!$B$6),NOT(ISNUMBER('Settings &amp; Assumptions'!$B$13)),NOT(ISNUMBER('Settings &amp; Assumptions'!$B$14))),"n.b.",SUMIFS(Transactions[amount],Transactions[include_in_totals],1,Transactions[booking_date],"&gt;="&amp;A25,Transactions[booking_date],"&lt;"&amp;MIN(EDATE(A25,1),'Settings &amp; Assumptions'!$B$6+1),Transactions[currency],"EUR",Transactions[duplicate_status],""))</x:f>
        <x:v>n.b.</x:v>
      </x:c>
      <x:c r="G25" s="15" t="str">
        <x:f>IF(COUNT(B25,D25)&lt;2,"n.b.",IF(B25=0,"n.b.",D25/B25))</x:f>
        <x:v>n.b.</x:v>
      </x:c>
      <x:c r="H25" s="2"/>
      <x:c r="I25" s="2"/>
      <x:c r="J25" s="2"/>
      <x:c r="K25" s="2"/>
      <x:c r="L25" s="2"/>
      <x:c r="M25" s="2" t="str">
        <x:f>IF(OR(NOT(ISNUMBER(B25)),K25="",K25&lt;=0),"n.b.",B25/K25)</x:f>
        <x:v>n.b.</x:v>
      </x:c>
      <x:c r="N25" s="2" t="str">
        <x:f>IF(OR(NOT(ISNUMBER(B25)),L25="",L25&lt;=0),"n.b.",B25/L25)</x:f>
        <x:v>n.b.</x:v>
      </x:c>
      <x:c r="O25" s="2" t="str">
        <x:f>TEXT(A25,"mmm yy")</x:f>
        <x:v>Jun 27</x:v>
      </x:c>
      <x:c r="P25" s="2" t="str">
        <x:f>IF(NOT(ISNUMBER(E25)),"n.b.",SUMIFS(Transactions[amount],Transactions[include_in_totals],1,Transactions[account_type],"private",Transactions[booking_date],"&gt;="&amp;A25,Transactions[booking_date],"&lt;"&amp;EDATE(A25,1),Transactions[currency],"EUR",Transactions[duplicate_status],""))</x:f>
        <x:v>n.b.</x:v>
      </x:c>
      <x:c r="Q25" s="2" t="str">
        <x:f>IF(COUNT(P25,E25)&lt;2,"n.b.",P25+E25)</x:f>
        <x:v>n.b.</x:v>
      </x:c>
      <x:c r="R25" s="15" t="str">
        <x:f>IF(OR(NOT(ISNUMBER(Q25)),Q25&lt;=0),"n.b.",P25/Q25)</x:f>
        <x:v>n.b.</x:v>
      </x:c>
      <x:c r="S25" s="2" t="str">
        <x:f>IF(ISNUMBER(P25),IF(ISNUMBER(S24),S24+P25,P25),"n.b.")</x:f>
        <x:v>n.b.</x:v>
      </x:c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14" t="n">
        <x:v>46569</x:v>
      </x:c>
      <x:c r="B26" s="12" t="str">
        <x:f>IF(OR('Settings &amp; Assumptions'!$G$14&lt;&gt;1,A26&gt;'Settings &amp; Assumptions'!$B$6),"n.b.",SUMIFS(Invoices[amount_excl],Invoices[date],"&gt;="&amp;A26,Invoices[date],"&lt;"&amp;MIN(EDATE(A26,1),'Settings &amp; Assumptions'!$B$6+1),Invoices[status],"&lt;&gt;concept",Invoices[status],"&lt;&gt;geannuleerd"))</x:f>
        <x:v>n.b.</x:v>
      </x:c>
      <x:c r="C26" s="12" t="str">
        <x:f>IF(OR('Settings &amp; Assumptions'!$G$15&lt;&gt;1,A26&gt;'Settings &amp; Assumptions'!$B$6),"n.b.",SUMIFS(Expenses[amount_excl],Expenses[date],"&gt;="&amp;A26,Expenses[date],"&lt;"&amp;MIN(EDATE(A26,1),'Settings &amp; Assumptions'!$B$6+1),Expenses[capital_asset],"no"))</x:f>
        <x:v>n.b.</x:v>
      </x:c>
      <x:c r="D26" s="12" t="str">
        <x:f>IF(COUNT(B26:C26)&lt;2,"n.b.",B26-C26)</x:f>
        <x:v>n.b.</x:v>
      </x:c>
      <x:c r="E26" s="12" t="str">
        <x:f>IF(OR('Settings &amp; Assumptions'!$G$13&lt;&gt;1,A26&gt;'Settings &amp; Assumptions'!$B$6,'Settings &amp; Assumptions'!$B$13&gt;A26,'Settings &amp; Assumptions'!$B$14&lt;MIN(EDATE(A26,1)-1,'Settings &amp; Assumptions'!$B$6),NOT(ISNUMBER('Settings &amp; Assumptions'!$B$13)),NOT(ISNUMBER('Settings &amp; Assumptions'!$B$14))),"n.b.",-SUMIFS(Transactions[amount],Transactions[include_in_totals],1,Transactions[booking_date],"&gt;="&amp;A26,Transactions[booking_date],"&lt;"&amp;MIN(EDATE(A26,1),'Settings &amp; Assumptions'!$B$6+1),Transactions[classification],"private",Transactions[amount],"&lt;0",Transactions[currency],"EUR",Transactions[duplicate_status],""))</x:f>
        <x:v>n.b.</x:v>
      </x:c>
      <x:c r="F26" s="12" t="str">
        <x:f>IF(OR('Settings &amp; Assumptions'!$G$13&lt;&gt;1,A26&gt;'Settings &amp; Assumptions'!$B$6,'Settings &amp; Assumptions'!$B$13&gt;A26,'Settings &amp; Assumptions'!$B$14&lt;MIN(EDATE(A26,1)-1,'Settings &amp; Assumptions'!$B$6),NOT(ISNUMBER('Settings &amp; Assumptions'!$B$13)),NOT(ISNUMBER('Settings &amp; Assumptions'!$B$14))),"n.b.",SUMIFS(Transactions[amount],Transactions[include_in_totals],1,Transactions[booking_date],"&gt;="&amp;A26,Transactions[booking_date],"&lt;"&amp;MIN(EDATE(A26,1),'Settings &amp; Assumptions'!$B$6+1),Transactions[currency],"EUR",Transactions[duplicate_status],""))</x:f>
        <x:v>n.b.</x:v>
      </x:c>
      <x:c r="G26" s="15" t="str">
        <x:f>IF(COUNT(B26,D26)&lt;2,"n.b.",IF(B26=0,"n.b.",D26/B26))</x:f>
        <x:v>n.b.</x:v>
      </x:c>
      <x:c r="H26" s="2"/>
      <x:c r="I26" s="2"/>
      <x:c r="J26" s="2"/>
      <x:c r="K26" s="2"/>
      <x:c r="L26" s="2"/>
      <x:c r="M26" s="2" t="str">
        <x:f>IF(OR(NOT(ISNUMBER(B26)),K26="",K26&lt;=0),"n.b.",B26/K26)</x:f>
        <x:v>n.b.</x:v>
      </x:c>
      <x:c r="N26" s="2" t="str">
        <x:f>IF(OR(NOT(ISNUMBER(B26)),L26="",L26&lt;=0),"n.b.",B26/L26)</x:f>
        <x:v>n.b.</x:v>
      </x:c>
      <x:c r="O26" s="2" t="str">
        <x:f>TEXT(A26,"mmm yy")</x:f>
        <x:v>Jul 27</x:v>
      </x:c>
      <x:c r="P26" s="2" t="str">
        <x:f>IF(NOT(ISNUMBER(E26)),"n.b.",SUMIFS(Transactions[amount],Transactions[include_in_totals],1,Transactions[account_type],"private",Transactions[booking_date],"&gt;="&amp;A26,Transactions[booking_date],"&lt;"&amp;EDATE(A26,1),Transactions[currency],"EUR",Transactions[duplicate_status],""))</x:f>
        <x:v>n.b.</x:v>
      </x:c>
      <x:c r="Q26" s="2" t="str">
        <x:f>IF(COUNT(P26,E26)&lt;2,"n.b.",P26+E26)</x:f>
        <x:v>n.b.</x:v>
      </x:c>
      <x:c r="R26" s="15" t="str">
        <x:f>IF(OR(NOT(ISNUMBER(Q26)),Q26&lt;=0),"n.b.",P26/Q26)</x:f>
        <x:v>n.b.</x:v>
      </x:c>
      <x:c r="S26" s="2" t="str">
        <x:f>IF(ISNUMBER(P26),IF(ISNUMBER(S25),S25+P26,P26),"n.b.")</x:f>
        <x:v>n.b.</x:v>
      </x:c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14" t="n">
        <x:v>46600</x:v>
      </x:c>
      <x:c r="B27" s="12" t="str">
        <x:f>IF(OR('Settings &amp; Assumptions'!$G$14&lt;&gt;1,A27&gt;'Settings &amp; Assumptions'!$B$6),"n.b.",SUMIFS(Invoices[amount_excl],Invoices[date],"&gt;="&amp;A27,Invoices[date],"&lt;"&amp;MIN(EDATE(A27,1),'Settings &amp; Assumptions'!$B$6+1),Invoices[status],"&lt;&gt;concept",Invoices[status],"&lt;&gt;geannuleerd"))</x:f>
        <x:v>n.b.</x:v>
      </x:c>
      <x:c r="C27" s="12" t="str">
        <x:f>IF(OR('Settings &amp; Assumptions'!$G$15&lt;&gt;1,A27&gt;'Settings &amp; Assumptions'!$B$6),"n.b.",SUMIFS(Expenses[amount_excl],Expenses[date],"&gt;="&amp;A27,Expenses[date],"&lt;"&amp;MIN(EDATE(A27,1),'Settings &amp; Assumptions'!$B$6+1),Expenses[capital_asset],"no"))</x:f>
        <x:v>n.b.</x:v>
      </x:c>
      <x:c r="D27" s="12" t="str">
        <x:f>IF(COUNT(B27:C27)&lt;2,"n.b.",B27-C27)</x:f>
        <x:v>n.b.</x:v>
      </x:c>
      <x:c r="E27" s="12" t="str">
        <x:f>IF(OR('Settings &amp; Assumptions'!$G$13&lt;&gt;1,A27&gt;'Settings &amp; Assumptions'!$B$6,'Settings &amp; Assumptions'!$B$13&gt;A27,'Settings &amp; Assumptions'!$B$14&lt;MIN(EDATE(A27,1)-1,'Settings &amp; Assumptions'!$B$6),NOT(ISNUMBER('Settings &amp; Assumptions'!$B$13)),NOT(ISNUMBER('Settings &amp; Assumptions'!$B$14))),"n.b.",-SUMIFS(Transactions[amount],Transactions[include_in_totals],1,Transactions[booking_date],"&gt;="&amp;A27,Transactions[booking_date],"&lt;"&amp;MIN(EDATE(A27,1),'Settings &amp; Assumptions'!$B$6+1),Transactions[classification],"private",Transactions[amount],"&lt;0",Transactions[currency],"EUR",Transactions[duplicate_status],""))</x:f>
        <x:v>n.b.</x:v>
      </x:c>
      <x:c r="F27" s="12" t="str">
        <x:f>IF(OR('Settings &amp; Assumptions'!$G$13&lt;&gt;1,A27&gt;'Settings &amp; Assumptions'!$B$6,'Settings &amp; Assumptions'!$B$13&gt;A27,'Settings &amp; Assumptions'!$B$14&lt;MIN(EDATE(A27,1)-1,'Settings &amp; Assumptions'!$B$6),NOT(ISNUMBER('Settings &amp; Assumptions'!$B$13)),NOT(ISNUMBER('Settings &amp; Assumptions'!$B$14))),"n.b.",SUMIFS(Transactions[amount],Transactions[include_in_totals],1,Transactions[booking_date],"&gt;="&amp;A27,Transactions[booking_date],"&lt;"&amp;MIN(EDATE(A27,1),'Settings &amp; Assumptions'!$B$6+1),Transactions[currency],"EUR",Transactions[duplicate_status],""))</x:f>
        <x:v>n.b.</x:v>
      </x:c>
      <x:c r="G27" s="15" t="str">
        <x:f>IF(COUNT(B27,D27)&lt;2,"n.b.",IF(B27=0,"n.b.",D27/B27))</x:f>
        <x:v>n.b.</x:v>
      </x:c>
      <x:c r="H27" s="2"/>
      <x:c r="I27" s="2"/>
      <x:c r="J27" s="2"/>
      <x:c r="K27" s="2"/>
      <x:c r="L27" s="2"/>
      <x:c r="M27" s="2" t="str">
        <x:f>IF(OR(NOT(ISNUMBER(B27)),K27="",K27&lt;=0),"n.b.",B27/K27)</x:f>
        <x:v>n.b.</x:v>
      </x:c>
      <x:c r="N27" s="2" t="str">
        <x:f>IF(OR(NOT(ISNUMBER(B27)),L27="",L27&lt;=0),"n.b.",B27/L27)</x:f>
        <x:v>n.b.</x:v>
      </x:c>
      <x:c r="O27" s="2" t="str">
        <x:f>TEXT(A27,"mmm yy")</x:f>
        <x:v>Aug 27</x:v>
      </x:c>
      <x:c r="P27" s="2" t="str">
        <x:f>IF(NOT(ISNUMBER(E27)),"n.b.",SUMIFS(Transactions[amount],Transactions[include_in_totals],1,Transactions[account_type],"private",Transactions[booking_date],"&gt;="&amp;A27,Transactions[booking_date],"&lt;"&amp;EDATE(A27,1),Transactions[currency],"EUR",Transactions[duplicate_status],""))</x:f>
        <x:v>n.b.</x:v>
      </x:c>
      <x:c r="Q27" s="2" t="str">
        <x:f>IF(COUNT(P27,E27)&lt;2,"n.b.",P27+E27)</x:f>
        <x:v>n.b.</x:v>
      </x:c>
      <x:c r="R27" s="15" t="str">
        <x:f>IF(OR(NOT(ISNUMBER(Q27)),Q27&lt;=0),"n.b.",P27/Q27)</x:f>
        <x:v>n.b.</x:v>
      </x:c>
      <x:c r="S27" s="2" t="str">
        <x:f>IF(ISNUMBER(P27),IF(ISNUMBER(S26),S26+P27,P27),"n.b.")</x:f>
        <x:v>n.b.</x:v>
      </x:c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14" t="n">
        <x:v>46631</x:v>
      </x:c>
      <x:c r="B28" s="12" t="str">
        <x:f>IF(OR('Settings &amp; Assumptions'!$G$14&lt;&gt;1,A28&gt;'Settings &amp; Assumptions'!$B$6),"n.b.",SUMIFS(Invoices[amount_excl],Invoices[date],"&gt;="&amp;A28,Invoices[date],"&lt;"&amp;MIN(EDATE(A28,1),'Settings &amp; Assumptions'!$B$6+1),Invoices[status],"&lt;&gt;concept",Invoices[status],"&lt;&gt;geannuleerd"))</x:f>
        <x:v>n.b.</x:v>
      </x:c>
      <x:c r="C28" s="12" t="str">
        <x:f>IF(OR('Settings &amp; Assumptions'!$G$15&lt;&gt;1,A28&gt;'Settings &amp; Assumptions'!$B$6),"n.b.",SUMIFS(Expenses[amount_excl],Expenses[date],"&gt;="&amp;A28,Expenses[date],"&lt;"&amp;MIN(EDATE(A28,1),'Settings &amp; Assumptions'!$B$6+1),Expenses[capital_asset],"no"))</x:f>
        <x:v>n.b.</x:v>
      </x:c>
      <x:c r="D28" s="12" t="str">
        <x:f>IF(COUNT(B28:C28)&lt;2,"n.b.",B28-C28)</x:f>
        <x:v>n.b.</x:v>
      </x:c>
      <x:c r="E28" s="12" t="str">
        <x:f>IF(OR('Settings &amp; Assumptions'!$G$13&lt;&gt;1,A28&gt;'Settings &amp; Assumptions'!$B$6,'Settings &amp; Assumptions'!$B$13&gt;A28,'Settings &amp; Assumptions'!$B$14&lt;MIN(EDATE(A28,1)-1,'Settings &amp; Assumptions'!$B$6),NOT(ISNUMBER('Settings &amp; Assumptions'!$B$13)),NOT(ISNUMBER('Settings &amp; Assumptions'!$B$14))),"n.b.",-SUMIFS(Transactions[amount],Transactions[include_in_totals],1,Transactions[booking_date],"&gt;="&amp;A28,Transactions[booking_date],"&lt;"&amp;MIN(EDATE(A28,1),'Settings &amp; Assumptions'!$B$6+1),Transactions[classification],"private",Transactions[amount],"&lt;0",Transactions[currency],"EUR",Transactions[duplicate_status],""))</x:f>
        <x:v>n.b.</x:v>
      </x:c>
      <x:c r="F28" s="12" t="str">
        <x:f>IF(OR('Settings &amp; Assumptions'!$G$13&lt;&gt;1,A28&gt;'Settings &amp; Assumptions'!$B$6,'Settings &amp; Assumptions'!$B$13&gt;A28,'Settings &amp; Assumptions'!$B$14&lt;MIN(EDATE(A28,1)-1,'Settings &amp; Assumptions'!$B$6),NOT(ISNUMBER('Settings &amp; Assumptions'!$B$13)),NOT(ISNUMBER('Settings &amp; Assumptions'!$B$14))),"n.b.",SUMIFS(Transactions[amount],Transactions[include_in_totals],1,Transactions[booking_date],"&gt;="&amp;A28,Transactions[booking_date],"&lt;"&amp;MIN(EDATE(A28,1),'Settings &amp; Assumptions'!$B$6+1),Transactions[currency],"EUR",Transactions[duplicate_status],""))</x:f>
        <x:v>n.b.</x:v>
      </x:c>
      <x:c r="G28" s="15" t="str">
        <x:f>IF(COUNT(B28,D28)&lt;2,"n.b.",IF(B28=0,"n.b.",D28/B28))</x:f>
        <x:v>n.b.</x:v>
      </x:c>
      <x:c r="H28" s="2"/>
      <x:c r="I28" s="2"/>
      <x:c r="J28" s="2"/>
      <x:c r="K28" s="2"/>
      <x:c r="L28" s="2"/>
      <x:c r="M28" s="2" t="str">
        <x:f>IF(OR(NOT(ISNUMBER(B28)),K28="",K28&lt;=0),"n.b.",B28/K28)</x:f>
        <x:v>n.b.</x:v>
      </x:c>
      <x:c r="N28" s="2" t="str">
        <x:f>IF(OR(NOT(ISNUMBER(B28)),L28="",L28&lt;=0),"n.b.",B28/L28)</x:f>
        <x:v>n.b.</x:v>
      </x:c>
      <x:c r="O28" s="2" t="str">
        <x:f>TEXT(A28,"mmm yy")</x:f>
        <x:v>Sep 27</x:v>
      </x:c>
      <x:c r="P28" s="2" t="str">
        <x:f>IF(NOT(ISNUMBER(E28)),"n.b.",SUMIFS(Transactions[amount],Transactions[include_in_totals],1,Transactions[account_type],"private",Transactions[booking_date],"&gt;="&amp;A28,Transactions[booking_date],"&lt;"&amp;EDATE(A28,1),Transactions[currency],"EUR",Transactions[duplicate_status],""))</x:f>
        <x:v>n.b.</x:v>
      </x:c>
      <x:c r="Q28" s="2" t="str">
        <x:f>IF(COUNT(P28,E28)&lt;2,"n.b.",P28+E28)</x:f>
        <x:v>n.b.</x:v>
      </x:c>
      <x:c r="R28" s="15" t="str">
        <x:f>IF(OR(NOT(ISNUMBER(Q28)),Q28&lt;=0),"n.b.",P28/Q28)</x:f>
        <x:v>n.b.</x:v>
      </x:c>
      <x:c r="S28" s="2" t="str">
        <x:f>IF(ISNUMBER(P28),IF(ISNUMBER(S27),S27+P28,P28),"n.b.")</x:f>
        <x:v>n.b.</x:v>
      </x:c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14" t="n">
        <x:v>46661</x:v>
      </x:c>
      <x:c r="B29" s="12" t="str">
        <x:f>IF(OR('Settings &amp; Assumptions'!$G$14&lt;&gt;1,A29&gt;'Settings &amp; Assumptions'!$B$6),"n.b.",SUMIFS(Invoices[amount_excl],Invoices[date],"&gt;="&amp;A29,Invoices[date],"&lt;"&amp;MIN(EDATE(A29,1),'Settings &amp; Assumptions'!$B$6+1),Invoices[status],"&lt;&gt;concept",Invoices[status],"&lt;&gt;geannuleerd"))</x:f>
        <x:v>n.b.</x:v>
      </x:c>
      <x:c r="C29" s="12" t="str">
        <x:f>IF(OR('Settings &amp; Assumptions'!$G$15&lt;&gt;1,A29&gt;'Settings &amp; Assumptions'!$B$6),"n.b.",SUMIFS(Expenses[amount_excl],Expenses[date],"&gt;="&amp;A29,Expenses[date],"&lt;"&amp;MIN(EDATE(A29,1),'Settings &amp; Assumptions'!$B$6+1),Expenses[capital_asset],"no"))</x:f>
        <x:v>n.b.</x:v>
      </x:c>
      <x:c r="D29" s="12" t="str">
        <x:f>IF(COUNT(B29:C29)&lt;2,"n.b.",B29-C29)</x:f>
        <x:v>n.b.</x:v>
      </x:c>
      <x:c r="E29" s="12" t="str">
        <x:f>IF(OR('Settings &amp; Assumptions'!$G$13&lt;&gt;1,A29&gt;'Settings &amp; Assumptions'!$B$6,'Settings &amp; Assumptions'!$B$13&gt;A29,'Settings &amp; Assumptions'!$B$14&lt;MIN(EDATE(A29,1)-1,'Settings &amp; Assumptions'!$B$6),NOT(ISNUMBER('Settings &amp; Assumptions'!$B$13)),NOT(ISNUMBER('Settings &amp; Assumptions'!$B$14))),"n.b.",-SUMIFS(Transactions[amount],Transactions[include_in_totals],1,Transactions[booking_date],"&gt;="&amp;A29,Transactions[booking_date],"&lt;"&amp;MIN(EDATE(A29,1),'Settings &amp; Assumptions'!$B$6+1),Transactions[classification],"private",Transactions[amount],"&lt;0",Transactions[currency],"EUR",Transactions[duplicate_status],""))</x:f>
        <x:v>n.b.</x:v>
      </x:c>
      <x:c r="F29" s="12" t="str">
        <x:f>IF(OR('Settings &amp; Assumptions'!$G$13&lt;&gt;1,A29&gt;'Settings &amp; Assumptions'!$B$6,'Settings &amp; Assumptions'!$B$13&gt;A29,'Settings &amp; Assumptions'!$B$14&lt;MIN(EDATE(A29,1)-1,'Settings &amp; Assumptions'!$B$6),NOT(ISNUMBER('Settings &amp; Assumptions'!$B$13)),NOT(ISNUMBER('Settings &amp; Assumptions'!$B$14))),"n.b.",SUMIFS(Transactions[amount],Transactions[include_in_totals],1,Transactions[booking_date],"&gt;="&amp;A29,Transactions[booking_date],"&lt;"&amp;MIN(EDATE(A29,1),'Settings &amp; Assumptions'!$B$6+1),Transactions[currency],"EUR",Transactions[duplicate_status],""))</x:f>
        <x:v>n.b.</x:v>
      </x:c>
      <x:c r="G29" s="15" t="str">
        <x:f>IF(COUNT(B29,D29)&lt;2,"n.b.",IF(B29=0,"n.b.",D29/B29))</x:f>
        <x:v>n.b.</x:v>
      </x:c>
      <x:c r="H29" s="2"/>
      <x:c r="I29" s="2"/>
      <x:c r="J29" s="2"/>
      <x:c r="K29" s="2"/>
      <x:c r="L29" s="2"/>
      <x:c r="M29" s="2" t="str">
        <x:f>IF(OR(NOT(ISNUMBER(B29)),K29="",K29&lt;=0),"n.b.",B29/K29)</x:f>
        <x:v>n.b.</x:v>
      </x:c>
      <x:c r="N29" s="2" t="str">
        <x:f>IF(OR(NOT(ISNUMBER(B29)),L29="",L29&lt;=0),"n.b.",B29/L29)</x:f>
        <x:v>n.b.</x:v>
      </x:c>
      <x:c r="O29" s="2" t="str">
        <x:f>TEXT(A29,"mmm yy")</x:f>
        <x:v>Oct 27</x:v>
      </x:c>
      <x:c r="P29" s="2" t="str">
        <x:f>IF(NOT(ISNUMBER(E29)),"n.b.",SUMIFS(Transactions[amount],Transactions[include_in_totals],1,Transactions[account_type],"private",Transactions[booking_date],"&gt;="&amp;A29,Transactions[booking_date],"&lt;"&amp;EDATE(A29,1),Transactions[currency],"EUR",Transactions[duplicate_status],""))</x:f>
        <x:v>n.b.</x:v>
      </x:c>
      <x:c r="Q29" s="2" t="str">
        <x:f>IF(COUNT(P29,E29)&lt;2,"n.b.",P29+E29)</x:f>
        <x:v>n.b.</x:v>
      </x:c>
      <x:c r="R29" s="15" t="str">
        <x:f>IF(OR(NOT(ISNUMBER(Q29)),Q29&lt;=0),"n.b.",P29/Q29)</x:f>
        <x:v>n.b.</x:v>
      </x:c>
      <x:c r="S29" s="2" t="str">
        <x:f>IF(ISNUMBER(P29),IF(ISNUMBER(S28),S28+P29,P29),"n.b.")</x:f>
        <x:v>n.b.</x:v>
      </x:c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32" customHeight="1">
      <x:c r="A32" s="5" t="str">
        <x:v>Vul historische begin-/eindsaldi en nettovermogen uitsluitend uit bewaarde maandafsluitingen in. Deze standen kunnen niet betrouwbaar uit onvolledige transacties worden gereconstrueerd.</x:v>
      </x:c>
      <x:c r="B32" s="5" t="str">
        <x:v>Vul historische begin-/eindsaldi en nettovermogen uitsluitend uit bewaarde maandafsluitingen in. Deze standen kunnen niet betrouwbaar uit onvolledige transacties worden gereconstrueerd.</x:v>
      </x:c>
      <x:c r="C32" s="5" t="str">
        <x:v>Vul historische begin-/eindsaldi en nettovermogen uitsluitend uit bewaarde maandafsluitingen in. Deze standen kunnen niet betrouwbaar uit onvolledige transacties worden gereconstrueerd.</x:v>
      </x:c>
      <x:c r="D32" s="5" t="str">
        <x:v>Vul historische begin-/eindsaldi en nettovermogen uitsluitend uit bewaarde maandafsluitingen in. Deze standen kunnen niet betrouwbaar uit onvolledige transacties worden gereconstrueerd.</x:v>
      </x:c>
      <x:c r="E32" s="5" t="str">
        <x:v>Vul historische begin-/eindsaldi en nettovermogen uitsluitend uit bewaarde maandafsluitingen in. Deze standen kunnen niet betrouwbaar uit onvolledige transacties worden gereconstrueerd.</x:v>
      </x:c>
      <x:c r="F32" s="5" t="str">
        <x:v>Vul historische begin-/eindsaldi en nettovermogen uitsluitend uit bewaarde maandafsluitingen in. Deze standen kunnen niet betrouwbaar uit onvolledige transacties worden gereconstrueerd.</x:v>
      </x:c>
      <x:c r="G32" s="5" t="str">
        <x:v>Vul historische begin-/eindsaldi en nettovermogen uitsluitend uit bewaarde maandafsluitingen in. Deze standen kunnen niet betrouwbaar uit onvolledige transacties worden gereconstrueerd.</x:v>
      </x:c>
      <x:c r="H32" s="5" t="str">
        <x:v>Vul historische begin-/eindsaldi en nettovermogen uitsluitend uit bewaarde maandafsluitingen in. Deze standen kunnen niet betrouwbaar uit onvolledige transacties worden gereconstrueerd.</x:v>
      </x:c>
      <x:c r="I32" s="5" t="str">
        <x:v>Vul historische begin-/eindsaldi en nettovermogen uitsluitend uit bewaarde maandafsluitingen in. Deze standen kunnen niet betrouwbaar uit onvolledige transacties worden gereconstrueerd.</x:v>
      </x:c>
      <x:c r="J32" s="5" t="str">
        <x:v>Vul historische begin-/eindsaldi en nettovermogen uitsluitend uit bewaarde maandafsluitingen in. Deze standen kunnen niet betrouwbaar uit onvolledige transacties worden gereconstrueerd.</x:v>
      </x:c>
      <x:c r="K32" s="5" t="str">
        <x:v>Vul historische begin-/eindsaldi en nettovermogen uitsluitend uit bewaarde maandafsluitingen in. Deze standen kunnen niet betrouwbaar uit onvolledige transacties worden gereconstrueerd.</x:v>
      </x:c>
      <x:c r="L32" s="5" t="str">
        <x:v>Vul historische begin-/eindsaldi en nettovermogen uitsluitend uit bewaarde maandafsluitingen in. Deze standen kunnen niet betrouwbaar uit onvolledige transacties worden gereconstrueerd.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32:L32"/>
    <x:mergeCell ref="N2:P2"/>
  </x:mergeCells>
  <x:pageMargins left="0.7" right="0.7" top="0.75" bottom="0.75" header="0.3" footer="0.3"/>
  <x:tableParts count="1">
    <x:tablePart xmlns:r="http://schemas.openxmlformats.org/officeDocument/2006/relationships" r:id="Rf27cbe81a45f449f"/>
  </x:tableParts>
</x:worksheet>
</file>

<file path=xl/worksheets/sheet19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5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Financiële signalen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Signalen volgen uit brondata en instellingen. Ontbrekende gegevens blijven zichtbaar.</x:v>
      </x:c>
      <x:c r="B3" s="5" t="str">
        <x:v>Signalen volgen uit brondata en instellingen. Ontbrekende gegevens blijven zichtbaar.</x:v>
      </x:c>
      <x:c r="C3" s="5" t="str">
        <x:v>Signalen volgen uit brondata en instellingen. Ontbrekende gegevens blijven zichtbaar.</x:v>
      </x:c>
      <x:c r="D3" s="5" t="str">
        <x:v>Signalen volgen uit brondata en instellingen. Ontbrekende gegevens blijven zichtbaar.</x:v>
      </x:c>
      <x:c r="E3" s="5" t="str">
        <x:v>Signalen volgen uit brondata en instellingen. Ontbrekende gegevens blijven zichtbaar.</x:v>
      </x:c>
      <x:c r="F3" s="5" t="str">
        <x:v>Signalen volgen uit brondata en instellingen. Ontbrekende gegevens blijven zichtbaar.</x:v>
      </x:c>
      <x:c r="G3" s="5" t="str">
        <x:v>Signalen volgen uit brondata en instellingen. Ontbrekende gegevens blijven zichtbaar.</x:v>
      </x:c>
      <x:c r="H3" s="5" t="str">
        <x:v>Signalen volgen uit brondata en instellingen. Ontbrekende gegevens blijven zichtbaar.</x:v>
      </x:c>
      <x:c r="I3" s="5" t="str">
        <x:v>Signalen volgen uit brondata en instellingen. Ontbrekende gegevens blijven zichtbaar.</x:v>
      </x:c>
      <x:c r="J3" s="5" t="str">
        <x:v>Signalen volgen uit brondata en instellingen. Ontbrekende gegevens blijven zichtbaar.</x:v>
      </x:c>
      <x:c r="K3" s="5" t="str">
        <x:v>Signalen volgen uit brondata en instellingen. Ontbrekende gegevens blijven zichtbaar.</x:v>
      </x:c>
      <x:c r="L3" s="5" t="str">
        <x:v>Signalen volgen uit brondata en instellingen. Ontbrekende gegevens blijven zichtbaar.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Signaal</x:v>
      </x:c>
      <x:c r="B5" s="8" t="str">
        <x:v>Status / waarde</x:v>
      </x:c>
      <x:c r="C5" s="8" t="str">
        <x:v>Vervolg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Cash onder nul</x:v>
      </x:c>
      <x:c r="B6" s="2" t="str">
        <x:f>IF(ISNUMBER('Net Worth'!E15),IF('Net Worth'!E15&lt;0,"Tekort","Geen tekort"),"Gegevens ontbreken")</x:f>
        <x:v>Gegevens ontbreken</x:v>
      </x:c>
      <x:c r="C6" s="2" t="str">
        <x:v>Verplichtingen en reserves controleren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Belastingpot tekort</x:v>
      </x:c>
      <x:c r="B7" s="2" t="str">
        <x:f>'Dutch Taxes'!E19</x:f>
        <x:v>n.b.</x:v>
      </x:c>
      <x:c r="C7" s="2" t="str">
        <x:v>Verschil reserveren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Toename zakelijke kosten</x:v>
      </x:c>
      <x:c r="B8" s="15" t="str">
        <x:f>IF(COUNT('Business Overview'!E9:E10)&lt;2,"n.b.",IF('Business Overview'!E10&lt;=0,"n.b.",'Business Overview'!E9/'Business Overview'!E10-1))</x:f>
        <x:v>n.b.</x:v>
      </x:c>
      <x:c r="C8" s="2" t="str">
        <x:v>Vergelijk deze en vorige maand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Grote externe transacties</x:v>
      </x:c>
      <x:c r="B9" s="2" t="str">
        <x:f>IF('Settings &amp; Assumptions'!$G$13&lt;&gt;1,"n.b.",COUNTIFS(Transactions[amount],"&lt;"&amp;-'Settings &amp; Assumptions'!$B$31,Transactions[classification],"&lt;&gt;internal",Transactions[classification],"&lt;&gt;owner_transfer",Transactions[duplicate_status],""))</x:f>
        <x:v>n.b.</x:v>
      </x:c>
      <x:c r="C9" s="2" t="str">
        <x:v>Filter Bank Transactions op bedrag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Mogelijk dubbele abonnementen</x:v>
      </x:c>
      <x:c r="B10" s="2" t="n">
        <x:f>COUNTIFS(Recurring[Controle],"Controleer overlap")</x:f>
        <x:v>0</x:v>
      </x:c>
      <x:c r="C10" s="2" t="str">
        <x:v>Controleer contracten en overlap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Onbekende transacties</x:v>
      </x:c>
      <x:c r="B11" s="2" t="n">
        <x:f>COUNTIFS(Transactions[classification],"unknown")</x:f>
        <x:v>0</x:v>
      </x:c>
      <x:c r="C11" s="2" t="str">
        <x:v>Classificatie invullen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Spaardoelen overgealloceerd</x:v>
      </x:c>
      <x:c r="B12" s="2" t="str">
        <x:f>IF(COUNT('Net Worth'!E6,'Net Worth'!E14)&lt;2,"n.b.",MAX(0,'Net Worth'!E14-'Net Worth'!E6))</x:f>
        <x:v>n.b.</x:v>
      </x:c>
      <x:c r="C12" s="2" t="str">
        <x:v>Dezelfde euro slechts één keer reserveren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Komende vaste lasten 30 dagen</x:v>
      </x:c>
      <x:c r="B13" s="2" t="n">
        <x:f>SUMIFS(Recurring[Bedrag],Recurring[Volgende betaling],"&gt;="&amp;'Settings &amp; Assumptions'!$B$6,Recurring[Volgende betaling],"&lt;="&amp;'Settings &amp; Assumptions'!$B$6+30,Recurring[Actief],"Ja")</x:f>
        <x:v>0</x:v>
      </x:c>
      <x:c r="C13" s="2" t="str">
        <x:v>Controleer betaaldata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Daling winst</x:v>
      </x:c>
      <x:c r="B14" s="2" t="str">
        <x:f>IF(COUNT(INDEX('Monthly Reports'!D6:D29,MATCH(EDATE(DATE(YEAR('Settings &amp; Assumptions'!$B$6),MONTH('Settings &amp; Assumptions'!$B$6),1),0),'Monthly Reports'!A6:A29,0)),INDEX('Monthly Reports'!D6:D29,MATCH(EDATE(DATE(YEAR('Settings &amp; Assumptions'!$B$6),MONTH('Settings &amp; Assumptions'!$B$6),1),-1),'Monthly Reports'!A6:A29,0)))&lt;2,"n.b.",INDEX('Monthly Reports'!D6:D29,MATCH(EDATE(DATE(YEAR('Settings &amp; Assumptions'!$B$6),MONTH('Settings &amp; Assumptions'!$B$6),1),0),'Monthly Reports'!A6:A29,0))-INDEX('Monthly Reports'!D6:D29,MATCH(EDATE(DATE(YEAR('Settings &amp; Assumptions'!$B$6),MONTH('Settings &amp; Assumptions'!$B$6),1),-1),'Monthly Reports'!A6:A29,0)))</x:f>
        <x:v>n.b.</x:v>
      </x:c>
      <x:c r="C14" s="2" t="str">
        <x:v>Bekijk omzet en kosten vorige maand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Bankdata verouderd</x:v>
      </x:c>
      <x:c r="B15" s="2" t="str">
        <x:f>IF(COUNT(Accounts[last_sync])=0,"Geen synchronisatiedatum",IF(MIN(Accounts[last_sync])&lt;'Settings &amp; Assumptions'!$B$6-'Settings &amp; Assumptions'!$B$33,"Verouderd","Recent"))</x:f>
        <x:v>Geen synchronisatiedatum</x:v>
      </x:c>
      <x:c r="C15" s="2" t="str">
        <x:v>Synchroniseer de bank in Studio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N2:P2"/>
  </x:mergeCells>
  <x:pageMargins left="0.7" right="0.7" top="0.75" bottom="0.75" header="0.3" footer="0.3"/>
  <x:tableParts count="1">
    <x:tablePart xmlns:r="http://schemas.openxmlformats.org/officeDocument/2006/relationships" r:id="R044ce89be88d4369"/>
  </x:tableParts>
</x:worksheet>
</file>

<file path=xl/worksheets/sheet20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7" hidden="0" customWidth="1"/>
    <x:col min="3" max="3" width="9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Instellingen en aannames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Blauw = bewerkbaar. “n.b.” = niet beschikbaar. Bevestig volledigheid pas na controle van de bronadministratie.</x:v>
      </x:c>
      <x:c r="B3" s="5" t="str">
        <x:v>Blauw = bewerkbaar. “n.b.” = niet beschikbaar. Bevestig volledigheid pas na controle van de bronadministratie.</x:v>
      </x:c>
      <x:c r="C3" s="5" t="str">
        <x:v>Blauw = bewerkbaar. “n.b.” = niet beschikbaar. Bevestig volledigheid pas na controle van de bronadministratie.</x:v>
      </x:c>
      <x:c r="D3" s="5" t="str">
        <x:v>Blauw = bewerkbaar. “n.b.” = niet beschikbaar. Bevestig volledigheid pas na controle van de bronadministratie.</x:v>
      </x:c>
      <x:c r="E3" s="5" t="str">
        <x:v>Blauw = bewerkbaar. “n.b.” = niet beschikbaar. Bevestig volledigheid pas na controle van de bronadministratie.</x:v>
      </x:c>
      <x:c r="F3" s="5" t="str">
        <x:v>Blauw = bewerkbaar. “n.b.” = niet beschikbaar. Bevestig volledigheid pas na controle van de bronadministratie.</x:v>
      </x:c>
      <x:c r="G3" s="5" t="str">
        <x:v>Blauw = bewerkbaar. “n.b.” = niet beschikbaar. Bevestig volledigheid pas na controle van de bronadministratie.</x:v>
      </x:c>
      <x:c r="H3" s="5" t="str">
        <x:v>Blauw = bewerkbaar. “n.b.” = niet beschikbaar. Bevestig volledigheid pas na controle van de bronadministratie.</x:v>
      </x:c>
      <x:c r="I3" s="5" t="str">
        <x:v>Blauw = bewerkbaar. “n.b.” = niet beschikbaar. Bevestig volledigheid pas na controle van de bronadministratie.</x:v>
      </x:c>
      <x:c r="J3" s="5" t="str">
        <x:v>Blauw = bewerkbaar. “n.b.” = niet beschikbaar. Bevestig volledigheid pas na controle van de bronadministratie.</x:v>
      </x:c>
      <x:c r="K3" s="5" t="str">
        <x:v>Blauw = bewerkbaar. “n.b.” = niet beschikbaar. Bevestig volledigheid pas na controle van de bronadministratie.</x:v>
      </x:c>
      <x:c r="L3" s="5" t="str">
        <x:v>Blauw = bewerkbaar. “n.b.” = niet beschikbaar. Bevestig volledigheid pas na controle van de bronadministratie.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Instelling</x:v>
      </x:c>
      <x:c r="B5" s="8" t="str">
        <x:v>Waarde</x:v>
      </x:c>
      <x:c r="C5" s="8" t="str">
        <x:v>Toelichting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v>Peildatum</x:v>
      </x:c>
      <x:c r="B6" s="10" t="n">
        <x:v>46302</x:v>
      </x:c>
      <x:c r="C6" s="2" t="str">
        <x:v>Datum van het rapport</x:v>
      </x:c>
      <x:c r="D6" s="2"/>
      <x:c r="E6" s="2"/>
      <x:c r="F6" s="2" t="str">
        <x:v>Driver</x:v>
      </x:c>
      <x:c r="G6" s="2" t="str">
        <x:v>Conservatief</x:v>
      </x:c>
      <x:c r="H6" s="2" t="str">
        <x:v>Basis</x:v>
      </x:c>
      <x:c r="I6" s="2" t="str">
        <x:v>Optimistisch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v>Belastingjaar</x:v>
      </x:c>
      <x:c r="B7" s="9" t="n">
        <x:v>2026</x:v>
      </x:c>
      <x:c r="C7" s="2" t="str">
        <x:v>Tarieven hieronder gelden uitsluitend voor 2026, vóór AOW</x:v>
      </x:c>
      <x:c r="D7" s="2"/>
      <x:c r="E7" s="2"/>
      <x:c r="F7" s="2" t="str">
        <x:v>Omzetfactor</x:v>
      </x:c>
      <x:c r="G7" s="2" t="n">
        <x:v>0.8</x:v>
      </x:c>
      <x:c r="H7" s="2" t="n">
        <x:v>1</x:v>
      </x:c>
      <x:c r="I7" s="2" t="n">
        <x:v>1.2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v>Scenario</x:v>
      </x:c>
      <x:c r="B8" s="9" t="n">
        <x:v>2</x:v>
      </x:c>
      <x:c r="C8" s="2" t="str">
        <x:v>1 Conservatief / 2 Basis / 3 Optimistisch</x:v>
      </x:c>
      <x:c r="D8" s="2"/>
      <x:c r="E8" s="2"/>
      <x:c r="F8" s="2" t="str">
        <x:v>Kostenfactor</x:v>
      </x:c>
      <x:c r="G8" s="2" t="n">
        <x:v>1.15</x:v>
      </x:c>
      <x:c r="H8" s="2" t="n">
        <x:v>1</x:v>
      </x:c>
      <x:c r="I8" s="2" t="n">
        <x:v>0.95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v>Bankgegevens gecontroleerd</x:v>
      </x:c>
      <x:c r="B9" s="9" t="n">
        <x:v>0</x:v>
      </x:c>
      <x:c r="C9" s="2" t="str">
        <x:v>1 alleen bij complete rekeningen, EUR, bekende saldi en afstemming</x:v>
      </x:c>
      <x:c r="D9" s="2"/>
      <x:c r="E9" s="2"/>
      <x:c r="F9" s="2" t="str">
        <x:v>Actief omzet</x:v>
      </x:c>
      <x:c r="G9" s="2" t="n">
        <x:f>CHOOSE(B8,G7,H7,I7)</x:f>
        <x:v>1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v>Facturen volledig</x:v>
      </x:c>
      <x:c r="B10" s="9" t="n">
        <x:v>0</x:v>
      </x:c>
      <x:c r="C10" s="2" t="str">
        <x:v>1 na controle uitgereikte facturen inclusief creditnota’s</x:v>
      </x:c>
      <x:c r="D10" s="2"/>
      <x:c r="E10" s="2"/>
      <x:c r="F10" s="2" t="str">
        <x:v>Actief kosten</x:v>
      </x:c>
      <x:c r="G10" s="2" t="n">
        <x:f>CHOOSE(B8,G8,H8,I8)</x:f>
        <x:v>1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v>Kosten volledig</x:v>
      </x:c>
      <x:c r="B11" s="9" t="n">
        <x:v>0</x:v>
      </x:c>
      <x:c r="C11" s="2" t="str">
        <x:v>1 na controle kosten, betaalstatus en aftrekbaarheid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v>Verplichtingen volledig</x:v>
      </x:c>
      <x:c r="B12" s="9" t="n">
        <x:v>0</x:v>
      </x:c>
      <x:c r="C12" s="2" t="str">
        <x:v>1 na controle belasting, schulden en overige verplichtingen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v>Historie volledig vanaf</x:v>
      </x:c>
      <x:c r="B13" s="10"/>
      <x:c r="C13" s="2" t="str">
        <x:v>Eerste volledige transactiedatum</x:v>
      </x:c>
      <x:c r="D13" s="2"/>
      <x:c r="E13" s="2"/>
      <x:c r="F13" s="2" t="str">
        <x:v>Bankbron bruikbaar</x:v>
      </x:c>
      <x:c r="G13" s="2" t="n">
        <x:f>IF(AND(B9=1,COUNTIFS(Accounts[include],1)&gt;0,SUM(Accounts[valid])=COUNTIFS(Accounts[include],1),COUNTIFS(Transactions[duplicate_status],"conflict")=0,COUNTIFS(Transactions[include_in_totals],1,Transactions[valid],0)=0),1,0)</x:f>
        <x:v>0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v>Historie volledig tot</x:v>
      </x:c>
      <x:c r="B14" s="10"/>
      <x:c r="C14" s="2" t="str">
        <x:v>Laatste volledige transactiedatum</x:v>
      </x:c>
      <x:c r="D14" s="2"/>
      <x:c r="E14" s="2"/>
      <x:c r="F14" s="2" t="str">
        <x:v>Factuurbron bruikbaar</x:v>
      </x:c>
      <x:c r="G14" s="2" t="n">
        <x:f>IF(AND(B10=1,SUM(Invoices[valid])=COUNTA(Invoices[id])),1,0)</x:f>
        <x:v>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v>Laatste export</x:v>
      </x:c>
      <x:c r="B15" s="10"/>
      <x:c r="C15" s="2" t="str">
        <x:v>Wordt bij import bijgewerkt; is geen banksynchronisatiedatum</x:v>
      </x:c>
      <x:c r="D15" s="2"/>
      <x:c r="E15" s="2"/>
      <x:c r="F15" s="2" t="str">
        <x:v>Kostenbron bruikbaar</x:v>
      </x:c>
      <x:c r="G15" s="2" t="n">
        <x:f>IF(AND(B11=1,SUM(Expenses[valid])=COUNTA(Expenses[id])),1,0)</x:f>
        <x:v>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v>Omzet per werkdag excl. btw</x:v>
      </x:c>
      <x:c r="B16" s="9" t="n">
        <x:v>650</x:v>
      </x:c>
      <x:c r="C16" s="2" t="str">
        <x:v>Gebruikersscenario; geen winst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str">
        <x:v>Variabele zakelijke kosten</x:v>
      </x:c>
      <x:c r="B17" s="11"/>
      <x:c r="C17" s="2" t="str">
        <x:v>Fractie van omzet; vul 0 in als werkelijk nihil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v>Vaste zakelijke kosten / maand</x:v>
      </x:c>
      <x:c r="B18" s="9"/>
      <x:c r="C18" s="2" t="str">
        <x:v>Ook tijdens reismaanden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v>Reserveringspercentage IB + Zvw</x:v>
      </x:c>
      <x:c r="B19" s="11"/>
      <x:c r="C19" s="2" t="str">
        <x:v>Planningsaanname op positieve winst; geen berekende aanslag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v>Werkdagen per werkmaand</x:v>
      </x:c>
      <x:c r="B20" s="9" t="n">
        <x:v>20</x:v>
      </x:c>
      <x:c r="C20" s="2" t="str">
        <x:v>Bewerkbare scenarioaanname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4" customHeight="1">
      <x:c r="A21" s="2" t="str">
        <x:v>Uren per werkdag</x:v>
      </x:c>
      <x:c r="B21" s="9" t="n">
        <x:v>8</x:v>
      </x:c>
      <x:c r="C21" s="2" t="str">
        <x:v>Bewerkbare scenarioaanname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 t="str">
        <x:v>Privébudget minimaal / maand</x:v>
      </x:c>
      <x:c r="B22" s="9" t="n">
        <x:v>1000</x:v>
      </x:c>
      <x:c r="C22" s="2" t="str">
        <x:v>Scenario, geen gemeten uitgaven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 t="str">
        <x:v>Privébudget comfortabel / maand</x:v>
      </x:c>
      <x:c r="B23" s="9" t="n">
        <x:v>2000</x:v>
      </x:c>
      <x:c r="C23" s="2" t="str">
        <x:v>Scenario, geen gemeten uitgaven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 t="str">
        <x:v>Reisbudget / maand</x:v>
      </x:c>
      <x:c r="B24" s="9" t="n">
        <x:v>2500</x:v>
      </x:c>
      <x:c r="C24" s="2" t="str">
        <x:v>Totale privé-uitgaven in reismaand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 t="str">
        <x:v>Noodbufferdoel</x:v>
      </x:c>
      <x:c r="B25" s="9" t="n">
        <x:v>20000</x:v>
      </x:c>
      <x:c r="C25" s="2" t="str">
        <x:v>Doel; aftrek van cash gebeurt via unieke doelreserveringen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 t="str">
        <x:v>Overige harde reserves</x:v>
      </x:c>
      <x:c r="B26" s="9"/>
      <x:c r="C26" s="2" t="str">
        <x:v>Geen belasting, schulden of doelen die al elders staan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 t="str">
        <x:v>Belastingpot huidig</x:v>
      </x:c>
      <x:c r="B27" s="9"/>
      <x:c r="C27" s="2" t="str">
        <x:v>Onderdeel banksaldo; niet nogmaals aftrekken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 t="str">
        <x:v>Netto maandinleg doelen</x:v>
      </x:c>
      <x:c r="B28" s="9"/>
      <x:c r="C28" s="2" t="str">
        <x:v>Totaal beschikbaar voor alle unieke spaardoelen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 t="str">
        <x:v>Investeringsrendement / jaar</x:v>
      </x:c>
      <x:c r="B29" s="11"/>
      <x:c r="C29" s="2" t="str">
        <x:v>Scenario, geen garantie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4" customHeight="1">
      <x:c r="A30" s="2" t="str">
        <x:v>Maandelijkse passieve inkomsten</x:v>
      </x:c>
      <x:c r="B30" s="9"/>
      <x:c r="C30" s="2" t="str">
        <x:v>Netto besteedbaar; niet automatisch uit vermogen afgeleid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 t="str">
        <x:v>Grote transactie drempel</x:v>
      </x:c>
      <x:c r="B31" s="9" t="n">
        <x:v>1000</x:v>
      </x:c>
      <x:c r="C31" s="2" t="str">
        <x:v>Signaaldrempel in euro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4" customHeight="1">
      <x:c r="A32" s="2" t="str">
        <x:v>Stijging uitgaven drempel</x:v>
      </x:c>
      <x:c r="B32" s="11" t="n">
        <x:v>0.25</x:v>
      </x:c>
      <x:c r="C32" s="2" t="str">
        <x:v>Vergelijkbare volledige maanden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 t="str">
        <x:v>Bankdata verouderd na dagen</x:v>
      </x:c>
      <x:c r="B33" s="9" t="n">
        <x:v>3</x:v>
      </x:c>
      <x:c r="C33" s="2" t="str">
        <x:v>Bewerkbare signaleringsdrempel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 t="str">
        <x:v>Netto winst per extra werkdag</x:v>
      </x:c>
      <x:c r="B34" s="9" t="str">
        <x:f>IF(COUNT(B16:B19)&lt;4,"n.b.",MAX(0,B16*(1-B17)-B18/B20)*(1-B19))</x:f>
        <x:v>n.b.</x:v>
      </x:c>
      <x:c r="C34" s="2" t="str">
        <x:v>Formule uit omzet, kosten en reservering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 t="str">
        <x:v>Forecast startmaand</x:v>
      </x:c>
      <x:c r="B35" s="10" t="n">
        <x:v>46327</x:v>
      </x:c>
      <x:c r="C35" s="2" t="str">
        <x:v>Start met een volledige toekomstige maand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 t="str">
        <x:v>Overige fiscale winstcorrecties</x:v>
      </x:c>
      <x:c r="B36" s="9"/>
      <x:c r="C36" s="2" t="str">
        <x:v>Jaarbedrag; positief verhoogt winst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 t="str">
        <x:v>Jaarafschrijving</x:v>
      </x:c>
      <x:c r="B37" s="9"/>
      <x:c r="C37" s="2" t="str">
        <x:v>Niet tevens als kosten boeken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 t="str">
        <x:v>Bevestigde jaarwinstverwachting</x:v>
      </x:c>
      <x:c r="B38" s="9"/>
      <x:c r="C38" s="2" t="str">
        <x:v>Exclusief btw, vóór afschrijving en fiscale correcties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 t="str">
        <x:v>Ander belastbaar box 1 inkomen</x:v>
      </x:c>
      <x:c r="B39" s="9"/>
      <x:c r="C39" s="2" t="str">
        <x:v>Voor vereenvoudigde raming; loonheffing apart invullen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 t="str">
        <x:v>Zelfstandigenaftrek van toepassing</x:v>
      </x:c>
      <x:c r="B40" s="9" t="n">
        <x:v>0</x:v>
      </x:c>
      <x:c r="C40" s="2" t="str">
        <x:v>Alleen 1 na toets urencriterium en voorwaarden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 t="str">
        <x:v>Startersaftrek van toepassing</x:v>
      </x:c>
      <x:c r="B41" s="9" t="n">
        <x:v>0</x:v>
      </x:c>
      <x:c r="C41" s="2" t="str">
        <x:v>Alleen 1 na toets voorwaarden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 t="str">
        <x:v>MKB-vrijstelling van toepassing</x:v>
      </x:c>
      <x:c r="B42" s="9" t="n">
        <x:v>0</x:v>
      </x:c>
      <x:c r="C42" s="2" t="str">
        <x:v>Alleen 1 bij winst uit onderneming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 t="str">
        <x:v>Bevestigde KIA</x:v>
      </x:c>
      <x:c r="B43" s="9"/>
      <x:c r="C43" s="2" t="str">
        <x:v>Handmatig fiscaal vastgesteld bedrag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 t="str">
        <x:v>Heffingskortingen totaal</x:v>
      </x:c>
      <x:c r="B44" s="9"/>
      <x:c r="C44" s="2" t="str">
        <x:v>Handmatig op totale persoonlijke situatie vaststellen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 t="str">
        <x:v>IB + Zvw reeds betaald / ingehouden</x:v>
      </x:c>
      <x:c r="B45" s="9"/>
      <x:c r="C45" s="2" t="str">
        <x:v>Voorkomt dubbele verplichting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 t="str">
        <x:v>Btw oudere jaren nog verschuldigd</x:v>
      </x:c>
      <x:c r="B46" s="9"/>
      <x:c r="C46" s="2" t="str">
        <x:v>Saldo van eerdere jaren, niet opnieuw kwartaal 2026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 t="str">
        <x:v>Overige bevestigde belasting</x:v>
      </x:c>
      <x:c r="B47" s="9"/>
      <x:c r="C47" s="2" t="str">
        <x:v>Bijv. box 3, niet inbegrepen in IB-raming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 t="str">
        <x:v>Broncontrole tax scope</x:v>
      </x:c>
      <x:c r="B48" s="9" t="n">
        <x:v>0</x:v>
      </x:c>
      <x:c r="C48" s="2" t="str">
        <x:v>1 als 2026, vóór AOW, geen bijzondere fiscale situaties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32" customHeight="1">
      <x:c r="A51" s="5" t="str">
        <x:v>Import: gebruik de ZIP-export uit Studio. De import bewaart correcties op stabiele transactie-ID en laat controlevelden uit totdat je opnieuw afstemt.</x:v>
      </x:c>
      <x:c r="B51" s="5" t="str">
        <x:v>Import: gebruik de ZIP-export uit Studio. De import bewaart correcties op stabiele transactie-ID en laat controlevelden uit totdat je opnieuw afstemt.</x:v>
      </x:c>
      <x:c r="C51" s="5" t="str">
        <x:v>Import: gebruik de ZIP-export uit Studio. De import bewaart correcties op stabiele transactie-ID en laat controlevelden uit totdat je opnieuw afstemt.</x:v>
      </x:c>
      <x:c r="D51" s="5" t="str">
        <x:v>Import: gebruik de ZIP-export uit Studio. De import bewaart correcties op stabiele transactie-ID en laat controlevelden uit totdat je opnieuw afstemt.</x:v>
      </x:c>
      <x:c r="E51" s="5" t="str">
        <x:v>Import: gebruik de ZIP-export uit Studio. De import bewaart correcties op stabiele transactie-ID en laat controlevelden uit totdat je opnieuw afstemt.</x:v>
      </x:c>
      <x:c r="F51" s="5" t="str">
        <x:v>Import: gebruik de ZIP-export uit Studio. De import bewaart correcties op stabiele transactie-ID en laat controlevelden uit totdat je opnieuw afstemt.</x:v>
      </x:c>
      <x:c r="G51" s="5" t="str">
        <x:v>Import: gebruik de ZIP-export uit Studio. De import bewaart correcties op stabiele transactie-ID en laat controlevelden uit totdat je opnieuw afstemt.</x:v>
      </x:c>
      <x:c r="H51" s="5" t="str">
        <x:v>Import: gebruik de ZIP-export uit Studio. De import bewaart correcties op stabiele transactie-ID en laat controlevelden uit totdat je opnieuw afstemt.</x:v>
      </x:c>
      <x:c r="I51" s="5" t="str">
        <x:v>Import: gebruik de ZIP-export uit Studio. De import bewaart correcties op stabiele transactie-ID en laat controlevelden uit totdat je opnieuw afstemt.</x:v>
      </x:c>
      <x:c r="J51" s="5" t="str">
        <x:v>Import: gebruik de ZIP-export uit Studio. De import bewaart correcties op stabiele transactie-ID en laat controlevelden uit totdat je opnieuw afstemt.</x:v>
      </x:c>
      <x:c r="K51" s="5" t="str">
        <x:v>Import: gebruik de ZIP-export uit Studio. De import bewaart correcties op stabiele transactie-ID en laat controlevelden uit totdat je opnieuw afstemt.</x:v>
      </x:c>
      <x:c r="L51" s="5" t="str">
        <x:v>Import: gebruik de ZIP-export uit Studio. De import bewaart correcties op stabiele transactie-ID en laat controlevelden uit totdat je opnieuw afstemt.</x:v>
      </x:c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32" customHeight="1">
      <x:c r="A53" s="5" t="str">
        <x:v>Classificeer per rekening expliciet private/business. Verschillende koppelingen van dezelfde IBAN tellen slechts één keer mee in Accounts.</x:v>
      </x:c>
      <x:c r="B53" s="5" t="str">
        <x:v>Classificeer per rekening expliciet private/business. Verschillende koppelingen van dezelfde IBAN tellen slechts één keer mee in Accounts.</x:v>
      </x:c>
      <x:c r="C53" s="5" t="str">
        <x:v>Classificeer per rekening expliciet private/business. Verschillende koppelingen van dezelfde IBAN tellen slechts één keer mee in Accounts.</x:v>
      </x:c>
      <x:c r="D53" s="5" t="str">
        <x:v>Classificeer per rekening expliciet private/business. Verschillende koppelingen van dezelfde IBAN tellen slechts één keer mee in Accounts.</x:v>
      </x:c>
      <x:c r="E53" s="5" t="str">
        <x:v>Classificeer per rekening expliciet private/business. Verschillende koppelingen van dezelfde IBAN tellen slechts één keer mee in Accounts.</x:v>
      </x:c>
      <x:c r="F53" s="5" t="str">
        <x:v>Classificeer per rekening expliciet private/business. Verschillende koppelingen van dezelfde IBAN tellen slechts één keer mee in Accounts.</x:v>
      </x:c>
      <x:c r="G53" s="5" t="str">
        <x:v>Classificeer per rekening expliciet private/business. Verschillende koppelingen van dezelfde IBAN tellen slechts één keer mee in Accounts.</x:v>
      </x:c>
      <x:c r="H53" s="5" t="str">
        <x:v>Classificeer per rekening expliciet private/business. Verschillende koppelingen van dezelfde IBAN tellen slechts één keer mee in Accounts.</x:v>
      </x:c>
      <x:c r="I53" s="5" t="str">
        <x:v>Classificeer per rekening expliciet private/business. Verschillende koppelingen van dezelfde IBAN tellen slechts één keer mee in Accounts.</x:v>
      </x:c>
      <x:c r="J53" s="5" t="str">
        <x:v>Classificeer per rekening expliciet private/business. Verschillende koppelingen van dezelfde IBAN tellen slechts één keer mee in Accounts.</x:v>
      </x:c>
      <x:c r="K53" s="5" t="str">
        <x:v>Classificeer per rekening expliciet private/business. Verschillende koppelingen van dezelfde IBAN tellen slechts één keer mee in Accounts.</x:v>
      </x:c>
      <x:c r="L53" s="5" t="str">
        <x:v>Classificeer per rekening expliciet private/business. Verschillende koppelingen van dezelfde IBAN tellen slechts één keer mee in Accounts.</x:v>
      </x:c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40" customHeight="1">
      <x:c r="A57" s="8" t="str">
        <x:v>id</x:v>
      </x:c>
      <x:c r="B57" s="8" t="str">
        <x:v>name</x:v>
      </x:c>
      <x:c r="C57" s="8" t="str">
        <x:v>type</x:v>
      </x:c>
      <x:c r="D57" s="8" t="str">
        <x:v>currency</x:v>
      </x:c>
      <x:c r="E57" s="8" t="str">
        <x:v>closing</x:v>
      </x:c>
      <x:c r="F57" s="8" t="str">
        <x:v>closing_date</x:v>
      </x:c>
      <x:c r="G57" s="8" t="str">
        <x:v>opening</x:v>
      </x:c>
      <x:c r="H57" s="8" t="str">
        <x:v>opening_date</x:v>
      </x:c>
      <x:c r="I57" s="8" t="str">
        <x:v>coverage</x:v>
      </x:c>
      <x:c r="J57" s="8" t="str">
        <x:v>last_sync</x:v>
      </x:c>
      <x:c r="K57" s="8" t="str">
        <x:v>include</x:v>
      </x:c>
      <x:c r="L57" s="8" t="str">
        <x:v>balance_type</x:v>
      </x:c>
      <x:c r="M57" s="8" t="str">
        <x:v>valid</x:v>
      </x:c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12"/>
      <x:c r="F58" s="13"/>
      <x:c r="G58" s="12"/>
      <x:c r="H58" s="13"/>
      <x:c r="I58" s="2"/>
      <x:c r="J58" s="13"/>
      <x:c r="K58" s="2"/>
      <x:c r="L58" s="2"/>
      <x:c r="M58" s="2" t="n">
        <x:f>IF(A58="",0,IF(AND(K58=1,OR(C58="business",C58="private"),D58="EUR",COUNT(E58:H58)=4,I58=1,ISNUMBER(J58),F58&gt;=H58,ABS(E58-G58-SUMIFS(Transactions[amount],Transactions[include_in_totals],1,Transactions[account_id],A58,Transactions[booking_date],"&gt;"&amp;H58,Transactions[booking_date],"&lt;="&amp;F58,Transactions[duplicate_status],""))&lt;=0.01),1,0))</x:f>
        <x:v>0</x:v>
      </x:c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12"/>
      <x:c r="F59" s="13"/>
      <x:c r="G59" s="12"/>
      <x:c r="H59" s="13"/>
      <x:c r="I59" s="2"/>
      <x:c r="J59" s="13"/>
      <x:c r="K59" s="2"/>
      <x:c r="L59" s="2"/>
      <x:c r="M59" s="2" t="n">
        <x:f>IF(A59="",0,IF(AND(K59=1,OR(C59="business",C59="private"),D59="EUR",COUNT(E59:H59)=4,I59=1,ISNUMBER(J59),F59&gt;=H59,ABS(E59-G59-SUMIFS(Transactions[amount],Transactions[include_in_totals],1,Transactions[account_id],A59,Transactions[booking_date],"&gt;"&amp;H59,Transactions[booking_date],"&lt;="&amp;F59,Transactions[duplicate_status],""))&lt;=0.01),1,0))</x:f>
        <x:v>0</x:v>
      </x:c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12"/>
      <x:c r="F60" s="13"/>
      <x:c r="G60" s="12"/>
      <x:c r="H60" s="13"/>
      <x:c r="I60" s="2"/>
      <x:c r="J60" s="13"/>
      <x:c r="K60" s="2"/>
      <x:c r="L60" s="2"/>
      <x:c r="M60" s="2" t="n">
        <x:f>IF(A60="",0,IF(AND(K60=1,OR(C60="business",C60="private"),D60="EUR",COUNT(E60:H60)=4,I60=1,ISNUMBER(J60),F60&gt;=H60,ABS(E60-G60-SUMIFS(Transactions[amount],Transactions[include_in_totals],1,Transactions[account_id],A60,Transactions[booking_date],"&gt;"&amp;H60,Transactions[booking_date],"&lt;="&amp;F60,Transactions[duplicate_status],""))&lt;=0.01),1,0))</x:f>
        <x:v>0</x:v>
      </x:c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12"/>
      <x:c r="F61" s="13"/>
      <x:c r="G61" s="12"/>
      <x:c r="H61" s="13"/>
      <x:c r="I61" s="2"/>
      <x:c r="J61" s="13"/>
      <x:c r="K61" s="2"/>
      <x:c r="L61" s="2"/>
      <x:c r="M61" s="2" t="n">
        <x:f>IF(A61="",0,IF(AND(K61=1,OR(C61="business",C61="private"),D61="EUR",COUNT(E61:H61)=4,I61=1,ISNUMBER(J61),F61&gt;=H61,ABS(E61-G61-SUMIFS(Transactions[amount],Transactions[include_in_totals],1,Transactions[account_id],A61,Transactions[booking_date],"&gt;"&amp;H61,Transactions[booking_date],"&lt;="&amp;F61,Transactions[duplicate_status],""))&lt;=0.01),1,0))</x:f>
        <x:v>0</x:v>
      </x:c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12"/>
      <x:c r="F62" s="13"/>
      <x:c r="G62" s="12"/>
      <x:c r="H62" s="13"/>
      <x:c r="I62" s="2"/>
      <x:c r="J62" s="13"/>
      <x:c r="K62" s="2"/>
      <x:c r="L62" s="2"/>
      <x:c r="M62" s="2" t="n">
        <x:f>IF(A62="",0,IF(AND(K62=1,OR(C62="business",C62="private"),D62="EUR",COUNT(E62:H62)=4,I62=1,ISNUMBER(J62),F62&gt;=H62,ABS(E62-G62-SUMIFS(Transactions[amount],Transactions[include_in_totals],1,Transactions[account_id],A62,Transactions[booking_date],"&gt;"&amp;H62,Transactions[booking_date],"&lt;="&amp;F62,Transactions[duplicate_status],""))&lt;=0.01),1,0))</x:f>
        <x:v>0</x:v>
      </x:c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12"/>
      <x:c r="F63" s="13"/>
      <x:c r="G63" s="12"/>
      <x:c r="H63" s="13"/>
      <x:c r="I63" s="2"/>
      <x:c r="J63" s="13"/>
      <x:c r="K63" s="2"/>
      <x:c r="L63" s="2"/>
      <x:c r="M63" s="2" t="n">
        <x:f>IF(A63="",0,IF(AND(K63=1,OR(C63="business",C63="private"),D63="EUR",COUNT(E63:H63)=4,I63=1,ISNUMBER(J63),F63&gt;=H63,ABS(E63-G63-SUMIFS(Transactions[amount],Transactions[include_in_totals],1,Transactions[account_id],A63,Transactions[booking_date],"&gt;"&amp;H63,Transactions[booking_date],"&lt;="&amp;F63,Transactions[duplicate_status],""))&lt;=0.01),1,0))</x:f>
        <x:v>0</x:v>
      </x:c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12"/>
      <x:c r="F64" s="13"/>
      <x:c r="G64" s="12"/>
      <x:c r="H64" s="13"/>
      <x:c r="I64" s="2"/>
      <x:c r="J64" s="13"/>
      <x:c r="K64" s="2"/>
      <x:c r="L64" s="2"/>
      <x:c r="M64" s="2" t="n">
        <x:f>IF(A64="",0,IF(AND(K64=1,OR(C64="business",C64="private"),D64="EUR",COUNT(E64:H64)=4,I64=1,ISNUMBER(J64),F64&gt;=H64,ABS(E64-G64-SUMIFS(Transactions[amount],Transactions[include_in_totals],1,Transactions[account_id],A64,Transactions[booking_date],"&gt;"&amp;H64,Transactions[booking_date],"&lt;="&amp;F64,Transactions[duplicate_status],""))&lt;=0.01),1,0))</x:f>
        <x:v>0</x:v>
      </x:c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12"/>
      <x:c r="F65" s="13"/>
      <x:c r="G65" s="12"/>
      <x:c r="H65" s="13"/>
      <x:c r="I65" s="2"/>
      <x:c r="J65" s="13"/>
      <x:c r="K65" s="2"/>
      <x:c r="L65" s="2"/>
      <x:c r="M65" s="2" t="n">
        <x:f>IF(A65="",0,IF(AND(K65=1,OR(C65="business",C65="private"),D65="EUR",COUNT(E65:H65)=4,I65=1,ISNUMBER(J65),F65&gt;=H65,ABS(E65-G65-SUMIFS(Transactions[amount],Transactions[include_in_totals],1,Transactions[account_id],A65,Transactions[booking_date],"&gt;"&amp;H65,Transactions[booking_date],"&lt;="&amp;F65,Transactions[duplicate_status],""))&lt;=0.01),1,0))</x:f>
        <x:v>0</x:v>
      </x:c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12"/>
      <x:c r="F66" s="13"/>
      <x:c r="G66" s="12"/>
      <x:c r="H66" s="13"/>
      <x:c r="I66" s="2"/>
      <x:c r="J66" s="13"/>
      <x:c r="K66" s="2"/>
      <x:c r="L66" s="2"/>
      <x:c r="M66" s="2" t="n">
        <x:f>IF(A66="",0,IF(AND(K66=1,OR(C66="business",C66="private"),D66="EUR",COUNT(E66:H66)=4,I66=1,ISNUMBER(J66),F66&gt;=H66,ABS(E66-G66-SUMIFS(Transactions[amount],Transactions[include_in_totals],1,Transactions[account_id],A66,Transactions[booking_date],"&gt;"&amp;H66,Transactions[booking_date],"&lt;="&amp;F66,Transactions[duplicate_status],""))&lt;=0.01),1,0))</x:f>
        <x:v>0</x:v>
      </x:c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12"/>
      <x:c r="F67" s="13"/>
      <x:c r="G67" s="12"/>
      <x:c r="H67" s="13"/>
      <x:c r="I67" s="2"/>
      <x:c r="J67" s="13"/>
      <x:c r="K67" s="2"/>
      <x:c r="L67" s="2"/>
      <x:c r="M67" s="2" t="n">
        <x:f>IF(A67="",0,IF(AND(K67=1,OR(C67="business",C67="private"),D67="EUR",COUNT(E67:H67)=4,I67=1,ISNUMBER(J67),F67&gt;=H67,ABS(E67-G67-SUMIFS(Transactions[amount],Transactions[include_in_totals],1,Transactions[account_id],A67,Transactions[booking_date],"&gt;"&amp;H67,Transactions[booking_date],"&lt;="&amp;F67,Transactions[duplicate_status],""))&lt;=0.01),1,0))</x:f>
        <x:v>0</x:v>
      </x:c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12"/>
      <x:c r="F68" s="13"/>
      <x:c r="G68" s="12"/>
      <x:c r="H68" s="13"/>
      <x:c r="I68" s="2"/>
      <x:c r="J68" s="13"/>
      <x:c r="K68" s="2"/>
      <x:c r="L68" s="2"/>
      <x:c r="M68" s="2" t="n">
        <x:f>IF(A68="",0,IF(AND(K68=1,OR(C68="business",C68="private"),D68="EUR",COUNT(E68:H68)=4,I68=1,ISNUMBER(J68),F68&gt;=H68,ABS(E68-G68-SUMIFS(Transactions[amount],Transactions[include_in_totals],1,Transactions[account_id],A68,Transactions[booking_date],"&gt;"&amp;H68,Transactions[booking_date],"&lt;="&amp;F68,Transactions[duplicate_status],""))&lt;=0.01),1,0))</x:f>
        <x:v>0</x:v>
      </x:c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12"/>
      <x:c r="F69" s="13"/>
      <x:c r="G69" s="12"/>
      <x:c r="H69" s="13"/>
      <x:c r="I69" s="2"/>
      <x:c r="J69" s="13"/>
      <x:c r="K69" s="2"/>
      <x:c r="L69" s="2"/>
      <x:c r="M69" s="2" t="n">
        <x:f>IF(A69="",0,IF(AND(K69=1,OR(C69="business",C69="private"),D69="EUR",COUNT(E69:H69)=4,I69=1,ISNUMBER(J69),F69&gt;=H69,ABS(E69-G69-SUMIFS(Transactions[amount],Transactions[include_in_totals],1,Transactions[account_id],A69,Transactions[booking_date],"&gt;"&amp;H69,Transactions[booking_date],"&lt;="&amp;F69,Transactions[duplicate_status],""))&lt;=0.01),1,0))</x:f>
        <x:v>0</x:v>
      </x:c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12"/>
      <x:c r="F70" s="13"/>
      <x:c r="G70" s="12"/>
      <x:c r="H70" s="13"/>
      <x:c r="I70" s="2"/>
      <x:c r="J70" s="13"/>
      <x:c r="K70" s="2"/>
      <x:c r="L70" s="2"/>
      <x:c r="M70" s="2" t="n">
        <x:f>IF(A70="",0,IF(AND(K70=1,OR(C70="business",C70="private"),D70="EUR",COUNT(E70:H70)=4,I70=1,ISNUMBER(J70),F70&gt;=H70,ABS(E70-G70-SUMIFS(Transactions[amount],Transactions[include_in_totals],1,Transactions[account_id],A70,Transactions[booking_date],"&gt;"&amp;H70,Transactions[booking_date],"&lt;="&amp;F70,Transactions[duplicate_status],""))&lt;=0.01),1,0))</x:f>
        <x:v>0</x:v>
      </x:c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12"/>
      <x:c r="F71" s="13"/>
      <x:c r="G71" s="12"/>
      <x:c r="H71" s="13"/>
      <x:c r="I71" s="2"/>
      <x:c r="J71" s="13"/>
      <x:c r="K71" s="2"/>
      <x:c r="L71" s="2"/>
      <x:c r="M71" s="2" t="n">
        <x:f>IF(A71="",0,IF(AND(K71=1,OR(C71="business",C71="private"),D71="EUR",COUNT(E71:H71)=4,I71=1,ISNUMBER(J71),F71&gt;=H71,ABS(E71-G71-SUMIFS(Transactions[amount],Transactions[include_in_totals],1,Transactions[account_id],A71,Transactions[booking_date],"&gt;"&amp;H71,Transactions[booking_date],"&lt;="&amp;F71,Transactions[duplicate_status],""))&lt;=0.01),1,0))</x:f>
        <x:v>0</x:v>
      </x:c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12"/>
      <x:c r="F72" s="13"/>
      <x:c r="G72" s="12"/>
      <x:c r="H72" s="13"/>
      <x:c r="I72" s="2"/>
      <x:c r="J72" s="13"/>
      <x:c r="K72" s="2"/>
      <x:c r="L72" s="2"/>
      <x:c r="M72" s="2" t="n">
        <x:f>IF(A72="",0,IF(AND(K72=1,OR(C72="business",C72="private"),D72="EUR",COUNT(E72:H72)=4,I72=1,ISNUMBER(J72),F72&gt;=H72,ABS(E72-G72-SUMIFS(Transactions[amount],Transactions[include_in_totals],1,Transactions[account_id],A72,Transactions[booking_date],"&gt;"&amp;H72,Transactions[booking_date],"&lt;="&amp;F72,Transactions[duplicate_status],""))&lt;=0.01),1,0))</x:f>
        <x:v>0</x:v>
      </x:c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40" customHeight="1">
      <x:c r="A73" s="8" t="str">
        <x:v>counterparty</x:v>
      </x:c>
      <x:c r="B73" s="8" t="str">
        <x:v>category</x:v>
      </x:c>
      <x:c r="C73" s="8" t="str">
        <x:v>classification</x:v>
      </x:c>
      <x:c r="D73" s="8" t="str">
        <x:v>recurring</x:v>
      </x:c>
      <x:c r="E73" s="8" t="str">
        <x:v>subcategory</x:v>
      </x:c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 t="str">
        <x:v>Bouwmaat</x:v>
      </x:c>
      <x:c r="B74" s="2" t="str">
        <x:v>Materialen</x:v>
      </x:c>
      <x:c r="C74" s="2" t="str">
        <x:v>business</x:v>
      </x:c>
      <x:c r="D74" s="2" t="str">
        <x:v>unknown</x:v>
      </x:c>
      <x:c r="E74" s="2" t="str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 t="str">
        <x:v>Albert Heijn</x:v>
      </x:c>
      <x:c r="B75" s="2" t="str">
        <x:v>Boodschappen</x:v>
      </x:c>
      <x:c r="C75" s="2" t="str">
        <x:v>private</x:v>
      </x:c>
      <x:c r="D75" s="2" t="str">
        <x:v>unknown</x:v>
      </x:c>
      <x:c r="E75" s="2" t="str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 t="str">
        <x:v>Lidl</x:v>
      </x:c>
      <x:c r="B76" s="2" t="str">
        <x:v>Boodschappen</x:v>
      </x:c>
      <x:c r="C76" s="2" t="str">
        <x:v>private</x:v>
      </x:c>
      <x:c r="D76" s="2" t="str">
        <x:v>unknown</x:v>
      </x:c>
      <x:c r="E76" s="2" t="str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32" customHeight="1">
      <x:c r="A79" s="5" t="str">
        <x:v>Regels: exacte tegenpartij, alleen toegepast op nieuwe transacties bij import. Correcties in Bank Transactions blijven bij volgende import behouden.</x:v>
      </x:c>
      <x:c r="B79" s="5" t="str">
        <x:v>Regels: exacte tegenpartij, alleen toegepast op nieuwe transacties bij import. Correcties in Bank Transactions blijven bij volgende import behouden.</x:v>
      </x:c>
      <x:c r="C79" s="5" t="str">
        <x:v>Regels: exacte tegenpartij, alleen toegepast op nieuwe transacties bij import. Correcties in Bank Transactions blijven bij volgende import behouden.</x:v>
      </x:c>
      <x:c r="D79" s="5" t="str">
        <x:v>Regels: exacte tegenpartij, alleen toegepast op nieuwe transacties bij import. Correcties in Bank Transactions blijven bij volgende import behouden.</x:v>
      </x:c>
      <x:c r="E79" s="5" t="str">
        <x:v>Regels: exacte tegenpartij, alleen toegepast op nieuwe transacties bij import. Correcties in Bank Transactions blijven bij volgende import behouden.</x:v>
      </x:c>
      <x:c r="F79" s="5" t="str">
        <x:v>Regels: exacte tegenpartij, alleen toegepast op nieuwe transacties bij import. Correcties in Bank Transactions blijven bij volgende import behouden.</x:v>
      </x:c>
      <x:c r="G79" s="5" t="str">
        <x:v>Regels: exacte tegenpartij, alleen toegepast op nieuwe transacties bij import. Correcties in Bank Transactions blijven bij volgende import behouden.</x:v>
      </x:c>
      <x:c r="H79" s="5" t="str">
        <x:v>Regels: exacte tegenpartij, alleen toegepast op nieuwe transacties bij import. Correcties in Bank Transactions blijven bij volgende import behouden.</x:v>
      </x:c>
      <x:c r="I79" s="5" t="str">
        <x:v>Regels: exacte tegenpartij, alleen toegepast op nieuwe transacties bij import. Correcties in Bank Transactions blijven bij volgende import behouden.</x:v>
      </x:c>
      <x:c r="J79" s="5" t="str">
        <x:v>Regels: exacte tegenpartij, alleen toegepast op nieuwe transacties bij import. Correcties in Bank Transactions blijven bij volgende import behouden.</x:v>
      </x:c>
      <x:c r="K79" s="5" t="str">
        <x:v>Regels: exacte tegenpartij, alleen toegepast op nieuwe transacties bij import. Correcties in Bank Transactions blijven bij volgende import behouden.</x:v>
      </x:c>
      <x:c r="L79" s="5" t="str">
        <x:v>Regels: exacte tegenpartij, alleen toegepast op nieuwe transacties bij import. Correcties in Bank Transactions blijven bij volgende import behouden.</x:v>
      </x:c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32" customHeight="1">
      <x:c r="A82" s="5" t="str">
        <x:v>Bewaar de werkmap lokaal. Na import werken berekeningen en grafieken offline. Gebruik Excel 365 voor de volledige tabellen-, validatie- en grafiekfunctionaliteit.</x:v>
      </x:c>
      <x:c r="B82" s="5" t="str">
        <x:v>Bewaar de werkmap lokaal. Na import werken berekeningen en grafieken offline. Gebruik Excel 365 voor de volledige tabellen-, validatie- en grafiekfunctionaliteit.</x:v>
      </x:c>
      <x:c r="C82" s="5" t="str">
        <x:v>Bewaar de werkmap lokaal. Na import werken berekeningen en grafieken offline. Gebruik Excel 365 voor de volledige tabellen-, validatie- en grafiekfunctionaliteit.</x:v>
      </x:c>
      <x:c r="D82" s="5" t="str">
        <x:v>Bewaar de werkmap lokaal. Na import werken berekeningen en grafieken offline. Gebruik Excel 365 voor de volledige tabellen-, validatie- en grafiekfunctionaliteit.</x:v>
      </x:c>
      <x:c r="E82" s="5" t="str">
        <x:v>Bewaar de werkmap lokaal. Na import werken berekeningen en grafieken offline. Gebruik Excel 365 voor de volledige tabellen-, validatie- en grafiekfunctionaliteit.</x:v>
      </x:c>
      <x:c r="F82" s="5" t="str">
        <x:v>Bewaar de werkmap lokaal. Na import werken berekeningen en grafieken offline. Gebruik Excel 365 voor de volledige tabellen-, validatie- en grafiekfunctionaliteit.</x:v>
      </x:c>
      <x:c r="G82" s="5" t="str">
        <x:v>Bewaar de werkmap lokaal. Na import werken berekeningen en grafieken offline. Gebruik Excel 365 voor de volledige tabellen-, validatie- en grafiekfunctionaliteit.</x:v>
      </x:c>
      <x:c r="H82" s="5" t="str">
        <x:v>Bewaar de werkmap lokaal. Na import werken berekeningen en grafieken offline. Gebruik Excel 365 voor de volledige tabellen-, validatie- en grafiekfunctionaliteit.</x:v>
      </x:c>
      <x:c r="I82" s="5" t="str">
        <x:v>Bewaar de werkmap lokaal. Na import werken berekeningen en grafieken offline. Gebruik Excel 365 voor de volledige tabellen-, validatie- en grafiekfunctionaliteit.</x:v>
      </x:c>
      <x:c r="J82" s="5" t="str">
        <x:v>Bewaar de werkmap lokaal. Na import werken berekeningen en grafieken offline. Gebruik Excel 365 voor de volledige tabellen-, validatie- en grafiekfunctionaliteit.</x:v>
      </x:c>
      <x:c r="K82" s="5" t="str">
        <x:v>Bewaar de werkmap lokaal. Na import werken berekeningen en grafieken offline. Gebruik Excel 365 voor de volledige tabellen-, validatie- en grafiekfunctionaliteit.</x:v>
      </x:c>
      <x:c r="L82" s="5" t="str">
        <x:v>Bewaar de werkmap lokaal. Na import werken berekeningen en grafieken offline. Gebruik Excel 365 voor de volledige tabellen-, validatie- en grafiekfunctionaliteit.</x:v>
      </x:c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32" customHeight="1">
      <x:c r="A84" s="5" t="str">
        <x:v>Bewaar iedere export-ZIP als origineel bewijs. Exportdate en bank last_sync zijn verschillend. De import geeft geen bewijs van volledige bankhistorie.</x:v>
      </x:c>
      <x:c r="B84" s="5" t="str">
        <x:v>Bewaar iedere export-ZIP als origineel bewijs. Exportdate en bank last_sync zijn verschillend. De import geeft geen bewijs van volledige bankhistorie.</x:v>
      </x:c>
      <x:c r="C84" s="5" t="str">
        <x:v>Bewaar iedere export-ZIP als origineel bewijs. Exportdate en bank last_sync zijn verschillend. De import geeft geen bewijs van volledige bankhistorie.</x:v>
      </x:c>
      <x:c r="D84" s="5" t="str">
        <x:v>Bewaar iedere export-ZIP als origineel bewijs. Exportdate en bank last_sync zijn verschillend. De import geeft geen bewijs van volledige bankhistorie.</x:v>
      </x:c>
      <x:c r="E84" s="5" t="str">
        <x:v>Bewaar iedere export-ZIP als origineel bewijs. Exportdate en bank last_sync zijn verschillend. De import geeft geen bewijs van volledige bankhistorie.</x:v>
      </x:c>
      <x:c r="F84" s="5" t="str">
        <x:v>Bewaar iedere export-ZIP als origineel bewijs. Exportdate en bank last_sync zijn verschillend. De import geeft geen bewijs van volledige bankhistorie.</x:v>
      </x:c>
      <x:c r="G84" s="5" t="str">
        <x:v>Bewaar iedere export-ZIP als origineel bewijs. Exportdate en bank last_sync zijn verschillend. De import geeft geen bewijs van volledige bankhistorie.</x:v>
      </x:c>
      <x:c r="H84" s="5" t="str">
        <x:v>Bewaar iedere export-ZIP als origineel bewijs. Exportdate en bank last_sync zijn verschillend. De import geeft geen bewijs van volledige bankhistorie.</x:v>
      </x:c>
      <x:c r="I84" s="5" t="str">
        <x:v>Bewaar iedere export-ZIP als origineel bewijs. Exportdate en bank last_sync zijn verschillend. De import geeft geen bewijs van volledige bankhistorie.</x:v>
      </x:c>
      <x:c r="J84" s="5" t="str">
        <x:v>Bewaar iedere export-ZIP als origineel bewijs. Exportdate en bank last_sync zijn verschillend. De import geeft geen bewijs van volledige bankhistorie.</x:v>
      </x:c>
      <x:c r="K84" s="5" t="str">
        <x:v>Bewaar iedere export-ZIP als origineel bewijs. Exportdate en bank last_sync zijn verschillend. De import geeft geen bewijs van volledige bankhistorie.</x:v>
      </x:c>
      <x:c r="L84" s="5" t="str">
        <x:v>Bewaar iedere export-ZIP als origineel bewijs. Exportdate en bank last_sync zijn verschillend. De import geeft geen bewijs van volledige bankhistorie.</x:v>
      </x:c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51:L51"/>
    <x:mergeCell ref="A53:L53"/>
    <x:mergeCell ref="A79:L79"/>
    <x:mergeCell ref="N2:P2"/>
    <x:mergeCell ref="A82:L82"/>
    <x:mergeCell ref="A84:L84"/>
  </x:mergeCells>
  <x:dataValidations count="9">
    <x:dataValidation type="list" sqref="B8">
      <x:formula1>"1,2,3"</x:formula1>
    </x:dataValidation>
    <x:dataValidation type="list" sqref="B9">
      <x:formula1>"0,1"</x:formula1>
    </x:dataValidation>
    <x:dataValidation type="list" sqref="B10">
      <x:formula1>"0,1"</x:formula1>
    </x:dataValidation>
    <x:dataValidation type="list" sqref="B11">
      <x:formula1>"0,1"</x:formula1>
    </x:dataValidation>
    <x:dataValidation type="list" sqref="B12">
      <x:formula1>"0,1"</x:formula1>
    </x:dataValidation>
    <x:dataValidation type="list" sqref="B40">
      <x:formula1>"0,1"</x:formula1>
    </x:dataValidation>
    <x:dataValidation type="list" sqref="B41">
      <x:formula1>"0,1"</x:formula1>
    </x:dataValidation>
    <x:dataValidation type="list" sqref="B42">
      <x:formula1>"0,1"</x:formula1>
    </x:dataValidation>
    <x:dataValidation type="list" sqref="B48">
      <x:formula1>"0,1"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304b7ef2e6744bd7"/>
    <x:tablePart xmlns:r="http://schemas.openxmlformats.org/officeDocument/2006/relationships" r:id="R49e2e73abd9c46bf"/>
    <x:tablePart xmlns:r="http://schemas.openxmlformats.org/officeDocument/2006/relationships" r:id="Rfa429a9bed214467"/>
  </x:tableParts>
</x:worksheet>
</file>

<file path=xl/worksheets/sheet21.xml><?xml version="1.0" encoding="utf-8"?>
<x:worksheet xmlns:x="http://schemas.openxmlformats.org/spreadsheetml/2006/main">
  <x:sheetPr>
    <x:tabColor rgb="FF1B294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Datakwaliteit en afstemming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2" t="str">
        <x:f>CHOOSE('Settings &amp; Assumptions'!$B$8,"Conservatief","Basis","Optimistisch")</x:f>
        <x:v>Basis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32" customHeight="1">
      <x:c r="A3" s="5" t="str">
        <x:v>Controleblad. Geen groen resultaat zonder bevestigde brondekking en onafhankelijke bankstanden.</x:v>
      </x:c>
      <x:c r="B3" s="5" t="str">
        <x:v>Controleblad. Geen groen resultaat zonder bevestigde brondekking en onafhankelijke bankstanden.</x:v>
      </x:c>
      <x:c r="C3" s="5" t="str">
        <x:v>Controleblad. Geen groen resultaat zonder bevestigde brondekking en onafhankelijke bankstanden.</x:v>
      </x:c>
      <x:c r="D3" s="5" t="str">
        <x:v>Controleblad. Geen groen resultaat zonder bevestigde brondekking en onafhankelijke bankstanden.</x:v>
      </x:c>
      <x:c r="E3" s="5" t="str">
        <x:v>Controleblad. Geen groen resultaat zonder bevestigde brondekking en onafhankelijke bankstanden.</x:v>
      </x:c>
      <x:c r="F3" s="5" t="str">
        <x:v>Controleblad. Geen groen resultaat zonder bevestigde brondekking en onafhankelijke bankstanden.</x:v>
      </x:c>
      <x:c r="G3" s="5" t="str">
        <x:v>Controleblad. Geen groen resultaat zonder bevestigde brondekking en onafhankelijke bankstanden.</x:v>
      </x:c>
      <x:c r="H3" s="5" t="str">
        <x:v>Controleblad. Geen groen resultaat zonder bevestigde brondekking en onafhankelijke bankstanden.</x:v>
      </x:c>
      <x:c r="I3" s="5" t="str">
        <x:v>Controleblad. Geen groen resultaat zonder bevestigde brondekking en onafhankelijke bankstanden.</x:v>
      </x:c>
      <x:c r="J3" s="5" t="str">
        <x:v>Controleblad. Geen groen resultaat zonder bevestigde brondekking en onafhankelijke bankstanden.</x:v>
      </x:c>
      <x:c r="K3" s="5" t="str">
        <x:v>Controleblad. Geen groen resultaat zonder bevestigde brondekking en onafhankelijke bankstanden.</x:v>
      </x:c>
      <x:c r="L3" s="5" t="str">
        <x:v>Controleblad. Geen groen resultaat zonder bevestigde brondekking en onafhankelijke bankstanden.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40" customHeight="1">
      <x:c r="A5" s="8" t="str">
        <x:v>Rekening-ID</x:v>
      </x:c>
      <x:c r="B5" s="8" t="str">
        <x:v>Naam</x:v>
      </x:c>
      <x:c r="C5" s="8" t="str">
        <x:v>Openingssaldo</x:v>
      </x:c>
      <x:c r="D5" s="8" t="str">
        <x:v>Openingsdatum</x:v>
      </x:c>
      <x:c r="E5" s="8" t="str">
        <x:v>Eindsaldo</x:v>
      </x:c>
      <x:c r="F5" s="8" t="str">
        <x:v>Einddatum</x:v>
      </x:c>
      <x:c r="G5" s="8" t="str">
        <x:v>Mutaties</x:v>
      </x:c>
      <x:c r="H5" s="8" t="str">
        <x:v>Verwacht saldo</x:v>
      </x:c>
      <x:c r="I5" s="8" t="str">
        <x:v>Verschil</x:v>
      </x:c>
      <x:c r="J5" s="8" t="str">
        <x:v>Dekking</x:v>
      </x:c>
      <x:c r="K5" s="8" t="str">
        <x:v>Controle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4" customHeight="1">
      <x:c r="A6" s="2" t="str">
        <x:f>IF('Settings &amp; Assumptions'!A58="","",'Settings &amp; Assumptions'!A58)</x:f>
      </x:c>
      <x:c r="B6" s="2" t="str">
        <x:f>IF('Settings &amp; Assumptions'!B58="","",'Settings &amp; Assumptions'!B58)</x:f>
      </x:c>
      <x:c r="C6" s="2" t="str">
        <x:f>IF(ISNUMBER('Settings &amp; Assumptions'!G58),'Settings &amp; Assumptions'!G58,"")</x:f>
      </x:c>
      <x:c r="D6" s="2" t="str">
        <x:f>IF(ISNUMBER('Settings &amp; Assumptions'!H58),'Settings &amp; Assumptions'!H58,"")</x:f>
      </x:c>
      <x:c r="E6" s="2" t="str">
        <x:f>IF(ISNUMBER('Settings &amp; Assumptions'!E58),'Settings &amp; Assumptions'!E58,"")</x:f>
      </x:c>
      <x:c r="F6" s="2" t="str">
        <x:f>IF(ISNUMBER('Settings &amp; Assumptions'!F58),'Settings &amp; Assumptions'!F58,"")</x:f>
      </x:c>
      <x:c r="G6" s="2" t="str">
        <x:f>IF(OR(A6="",NOT(ISNUMBER(D6)),NOT(ISNUMBER(F6))),"n.b.",SUMIFS(Transactions[amount],Transactions[include_in_totals],1,Transactions[account_id],A6,Transactions[booking_date],"&gt;"&amp;D6,Transactions[booking_date],"&lt;="&amp;F6,Transactions[duplicate_status],""))</x:f>
        <x:v>n.b.</x:v>
      </x:c>
      <x:c r="H6" s="2" t="str">
        <x:f>IF(COUNT(C6,G6)&lt;2,"n.b.",C6+G6)</x:f>
        <x:v>n.b.</x:v>
      </x:c>
      <x:c r="I6" s="25" t="str">
        <x:f>IF(COUNT(E6,H6)&lt;2,"n.b.",H6-E6)</x:f>
        <x:v>n.b.</x:v>
      </x:c>
      <x:c r="J6" s="2" t="str">
        <x:f>IF(ISNUMBER('Settings &amp; Assumptions'!I58),'Settings &amp; Assumptions'!I58,"")</x:f>
      </x:c>
      <x:c r="K6" s="2" t="str">
        <x:f>IF(A6="","",IF(OR(J6&lt;&gt;1,NOT(ISNUMBER(I6))),"Onvolledig",IF(ABS(I6)&gt;0.01,"Verschil","Afgestemd")))</x:f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4" customHeight="1">
      <x:c r="A7" s="2" t="str">
        <x:f>IF('Settings &amp; Assumptions'!A59="","",'Settings &amp; Assumptions'!A59)</x:f>
      </x:c>
      <x:c r="B7" s="2" t="str">
        <x:f>IF('Settings &amp; Assumptions'!B59="","",'Settings &amp; Assumptions'!B59)</x:f>
      </x:c>
      <x:c r="C7" s="2" t="str">
        <x:f>IF(ISNUMBER('Settings &amp; Assumptions'!G59),'Settings &amp; Assumptions'!G59,"")</x:f>
      </x:c>
      <x:c r="D7" s="2" t="str">
        <x:f>IF(ISNUMBER('Settings &amp; Assumptions'!H59),'Settings &amp; Assumptions'!H59,"")</x:f>
      </x:c>
      <x:c r="E7" s="2" t="str">
        <x:f>IF(ISNUMBER('Settings &amp; Assumptions'!E59),'Settings &amp; Assumptions'!E59,"")</x:f>
      </x:c>
      <x:c r="F7" s="2" t="str">
        <x:f>IF(ISNUMBER('Settings &amp; Assumptions'!F59),'Settings &amp; Assumptions'!F59,"")</x:f>
      </x:c>
      <x:c r="G7" s="2" t="str">
        <x:f>IF(OR(A7="",NOT(ISNUMBER(D7)),NOT(ISNUMBER(F7))),"n.b.",SUMIFS(Transactions[amount],Transactions[include_in_totals],1,Transactions[account_id],A7,Transactions[booking_date],"&gt;"&amp;D7,Transactions[booking_date],"&lt;="&amp;F7,Transactions[duplicate_status],""))</x:f>
        <x:v>n.b.</x:v>
      </x:c>
      <x:c r="H7" s="2" t="str">
        <x:f>IF(COUNT(C7,G7)&lt;2,"n.b.",C7+G7)</x:f>
        <x:v>n.b.</x:v>
      </x:c>
      <x:c r="I7" s="25" t="str">
        <x:f>IF(COUNT(E7,H7)&lt;2,"n.b.",H7-E7)</x:f>
        <x:v>n.b.</x:v>
      </x:c>
      <x:c r="J7" s="2" t="str">
        <x:f>IF(ISNUMBER('Settings &amp; Assumptions'!I59),'Settings &amp; Assumptions'!I59,"")</x:f>
      </x:c>
      <x:c r="K7" s="2" t="str">
        <x:f>IF(A7="","",IF(OR(J7&lt;&gt;1,NOT(ISNUMBER(I7))),"Onvolledig",IF(ABS(I7)&gt;0.01,"Verschil","Afgestemd")))</x:f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4" customHeight="1">
      <x:c r="A8" s="2" t="str">
        <x:f>IF('Settings &amp; Assumptions'!A60="","",'Settings &amp; Assumptions'!A60)</x:f>
      </x:c>
      <x:c r="B8" s="2" t="str">
        <x:f>IF('Settings &amp; Assumptions'!B60="","",'Settings &amp; Assumptions'!B60)</x:f>
      </x:c>
      <x:c r="C8" s="2" t="str">
        <x:f>IF(ISNUMBER('Settings &amp; Assumptions'!G60),'Settings &amp; Assumptions'!G60,"")</x:f>
      </x:c>
      <x:c r="D8" s="2" t="str">
        <x:f>IF(ISNUMBER('Settings &amp; Assumptions'!H60),'Settings &amp; Assumptions'!H60,"")</x:f>
      </x:c>
      <x:c r="E8" s="2" t="str">
        <x:f>IF(ISNUMBER('Settings &amp; Assumptions'!E60),'Settings &amp; Assumptions'!E60,"")</x:f>
      </x:c>
      <x:c r="F8" s="2" t="str">
        <x:f>IF(ISNUMBER('Settings &amp; Assumptions'!F60),'Settings &amp; Assumptions'!F60,"")</x:f>
      </x:c>
      <x:c r="G8" s="2" t="str">
        <x:f>IF(OR(A8="",NOT(ISNUMBER(D8)),NOT(ISNUMBER(F8))),"n.b.",SUMIFS(Transactions[amount],Transactions[include_in_totals],1,Transactions[account_id],A8,Transactions[booking_date],"&gt;"&amp;D8,Transactions[booking_date],"&lt;="&amp;F8,Transactions[duplicate_status],""))</x:f>
        <x:v>n.b.</x:v>
      </x:c>
      <x:c r="H8" s="2" t="str">
        <x:f>IF(COUNT(C8,G8)&lt;2,"n.b.",C8+G8)</x:f>
        <x:v>n.b.</x:v>
      </x:c>
      <x:c r="I8" s="25" t="str">
        <x:f>IF(COUNT(E8,H8)&lt;2,"n.b.",H8-E8)</x:f>
        <x:v>n.b.</x:v>
      </x:c>
      <x:c r="J8" s="2" t="str">
        <x:f>IF(ISNUMBER('Settings &amp; Assumptions'!I60),'Settings &amp; Assumptions'!I60,"")</x:f>
      </x:c>
      <x:c r="K8" s="2" t="str">
        <x:f>IF(A8="","",IF(OR(J8&lt;&gt;1,NOT(ISNUMBER(I8))),"Onvolledig",IF(ABS(I8)&gt;0.01,"Verschil","Afgestemd")))</x:f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4" customHeight="1">
      <x:c r="A9" s="2" t="str">
        <x:f>IF('Settings &amp; Assumptions'!A61="","",'Settings &amp; Assumptions'!A61)</x:f>
      </x:c>
      <x:c r="B9" s="2" t="str">
        <x:f>IF('Settings &amp; Assumptions'!B61="","",'Settings &amp; Assumptions'!B61)</x:f>
      </x:c>
      <x:c r="C9" s="2" t="str">
        <x:f>IF(ISNUMBER('Settings &amp; Assumptions'!G61),'Settings &amp; Assumptions'!G61,"")</x:f>
      </x:c>
      <x:c r="D9" s="2" t="str">
        <x:f>IF(ISNUMBER('Settings &amp; Assumptions'!H61),'Settings &amp; Assumptions'!H61,"")</x:f>
      </x:c>
      <x:c r="E9" s="2" t="str">
        <x:f>IF(ISNUMBER('Settings &amp; Assumptions'!E61),'Settings &amp; Assumptions'!E61,"")</x:f>
      </x:c>
      <x:c r="F9" s="2" t="str">
        <x:f>IF(ISNUMBER('Settings &amp; Assumptions'!F61),'Settings &amp; Assumptions'!F61,"")</x:f>
      </x:c>
      <x:c r="G9" s="2" t="str">
        <x:f>IF(OR(A9="",NOT(ISNUMBER(D9)),NOT(ISNUMBER(F9))),"n.b.",SUMIFS(Transactions[amount],Transactions[include_in_totals],1,Transactions[account_id],A9,Transactions[booking_date],"&gt;"&amp;D9,Transactions[booking_date],"&lt;="&amp;F9,Transactions[duplicate_status],""))</x:f>
        <x:v>n.b.</x:v>
      </x:c>
      <x:c r="H9" s="2" t="str">
        <x:f>IF(COUNT(C9,G9)&lt;2,"n.b.",C9+G9)</x:f>
        <x:v>n.b.</x:v>
      </x:c>
      <x:c r="I9" s="25" t="str">
        <x:f>IF(COUNT(E9,H9)&lt;2,"n.b.",H9-E9)</x:f>
        <x:v>n.b.</x:v>
      </x:c>
      <x:c r="J9" s="2" t="str">
        <x:f>IF(ISNUMBER('Settings &amp; Assumptions'!I61),'Settings &amp; Assumptions'!I61,"")</x:f>
      </x:c>
      <x:c r="K9" s="2" t="str">
        <x:f>IF(A9="","",IF(OR(J9&lt;&gt;1,NOT(ISNUMBER(I9))),"Onvolledig",IF(ABS(I9)&gt;0.01,"Verschil","Afgestemd")))</x:f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4" customHeight="1">
      <x:c r="A10" s="2" t="str">
        <x:f>IF('Settings &amp; Assumptions'!A62="","",'Settings &amp; Assumptions'!A62)</x:f>
      </x:c>
      <x:c r="B10" s="2" t="str">
        <x:f>IF('Settings &amp; Assumptions'!B62="","",'Settings &amp; Assumptions'!B62)</x:f>
      </x:c>
      <x:c r="C10" s="2" t="str">
        <x:f>IF(ISNUMBER('Settings &amp; Assumptions'!G62),'Settings &amp; Assumptions'!G62,"")</x:f>
      </x:c>
      <x:c r="D10" s="2" t="str">
        <x:f>IF(ISNUMBER('Settings &amp; Assumptions'!H62),'Settings &amp; Assumptions'!H62,"")</x:f>
      </x:c>
      <x:c r="E10" s="2" t="str">
        <x:f>IF(ISNUMBER('Settings &amp; Assumptions'!E62),'Settings &amp; Assumptions'!E62,"")</x:f>
      </x:c>
      <x:c r="F10" s="2" t="str">
        <x:f>IF(ISNUMBER('Settings &amp; Assumptions'!F62),'Settings &amp; Assumptions'!F62,"")</x:f>
      </x:c>
      <x:c r="G10" s="2" t="str">
        <x:f>IF(OR(A10="",NOT(ISNUMBER(D10)),NOT(ISNUMBER(F10))),"n.b.",SUMIFS(Transactions[amount],Transactions[include_in_totals],1,Transactions[account_id],A10,Transactions[booking_date],"&gt;"&amp;D10,Transactions[booking_date],"&lt;="&amp;F10,Transactions[duplicate_status],""))</x:f>
        <x:v>n.b.</x:v>
      </x:c>
      <x:c r="H10" s="2" t="str">
        <x:f>IF(COUNT(C10,G10)&lt;2,"n.b.",C10+G10)</x:f>
        <x:v>n.b.</x:v>
      </x:c>
      <x:c r="I10" s="25" t="str">
        <x:f>IF(COUNT(E10,H10)&lt;2,"n.b.",H10-E10)</x:f>
        <x:v>n.b.</x:v>
      </x:c>
      <x:c r="J10" s="2" t="str">
        <x:f>IF(ISNUMBER('Settings &amp; Assumptions'!I62),'Settings &amp; Assumptions'!I62,"")</x:f>
      </x:c>
      <x:c r="K10" s="2" t="str">
        <x:f>IF(A10="","",IF(OR(J10&lt;&gt;1,NOT(ISNUMBER(I10))),"Onvolledig",IF(ABS(I10)&gt;0.01,"Verschil","Afgestemd")))</x:f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4" customHeight="1">
      <x:c r="A11" s="2" t="str">
        <x:f>IF('Settings &amp; Assumptions'!A63="","",'Settings &amp; Assumptions'!A63)</x:f>
      </x:c>
      <x:c r="B11" s="2" t="str">
        <x:f>IF('Settings &amp; Assumptions'!B63="","",'Settings &amp; Assumptions'!B63)</x:f>
      </x:c>
      <x:c r="C11" s="2" t="str">
        <x:f>IF(ISNUMBER('Settings &amp; Assumptions'!G63),'Settings &amp; Assumptions'!G63,"")</x:f>
      </x:c>
      <x:c r="D11" s="2" t="str">
        <x:f>IF(ISNUMBER('Settings &amp; Assumptions'!H63),'Settings &amp; Assumptions'!H63,"")</x:f>
      </x:c>
      <x:c r="E11" s="2" t="str">
        <x:f>IF(ISNUMBER('Settings &amp; Assumptions'!E63),'Settings &amp; Assumptions'!E63,"")</x:f>
      </x:c>
      <x:c r="F11" s="2" t="str">
        <x:f>IF(ISNUMBER('Settings &amp; Assumptions'!F63),'Settings &amp; Assumptions'!F63,"")</x:f>
      </x:c>
      <x:c r="G11" s="2" t="str">
        <x:f>IF(OR(A11="",NOT(ISNUMBER(D11)),NOT(ISNUMBER(F11))),"n.b.",SUMIFS(Transactions[amount],Transactions[include_in_totals],1,Transactions[account_id],A11,Transactions[booking_date],"&gt;"&amp;D11,Transactions[booking_date],"&lt;="&amp;F11,Transactions[duplicate_status],""))</x:f>
        <x:v>n.b.</x:v>
      </x:c>
      <x:c r="H11" s="2" t="str">
        <x:f>IF(COUNT(C11,G11)&lt;2,"n.b.",C11+G11)</x:f>
        <x:v>n.b.</x:v>
      </x:c>
      <x:c r="I11" s="25" t="str">
        <x:f>IF(COUNT(E11,H11)&lt;2,"n.b.",H11-E11)</x:f>
        <x:v>n.b.</x:v>
      </x:c>
      <x:c r="J11" s="2" t="str">
        <x:f>IF(ISNUMBER('Settings &amp; Assumptions'!I63),'Settings &amp; Assumptions'!I63,"")</x:f>
      </x:c>
      <x:c r="K11" s="2" t="str">
        <x:f>IF(A11="","",IF(OR(J11&lt;&gt;1,NOT(ISNUMBER(I11))),"Onvolledig",IF(ABS(I11)&gt;0.01,"Verschil","Afgestemd")))</x:f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4" customHeight="1">
      <x:c r="A12" s="2" t="str">
        <x:f>IF('Settings &amp; Assumptions'!A64="","",'Settings &amp; Assumptions'!A64)</x:f>
      </x:c>
      <x:c r="B12" s="2" t="str">
        <x:f>IF('Settings &amp; Assumptions'!B64="","",'Settings &amp; Assumptions'!B64)</x:f>
      </x:c>
      <x:c r="C12" s="2" t="str">
        <x:f>IF(ISNUMBER('Settings &amp; Assumptions'!G64),'Settings &amp; Assumptions'!G64,"")</x:f>
      </x:c>
      <x:c r="D12" s="2" t="str">
        <x:f>IF(ISNUMBER('Settings &amp; Assumptions'!H64),'Settings &amp; Assumptions'!H64,"")</x:f>
      </x:c>
      <x:c r="E12" s="2" t="str">
        <x:f>IF(ISNUMBER('Settings &amp; Assumptions'!E64),'Settings &amp; Assumptions'!E64,"")</x:f>
      </x:c>
      <x:c r="F12" s="2" t="str">
        <x:f>IF(ISNUMBER('Settings &amp; Assumptions'!F64),'Settings &amp; Assumptions'!F64,"")</x:f>
      </x:c>
      <x:c r="G12" s="2" t="str">
        <x:f>IF(OR(A12="",NOT(ISNUMBER(D12)),NOT(ISNUMBER(F12))),"n.b.",SUMIFS(Transactions[amount],Transactions[include_in_totals],1,Transactions[account_id],A12,Transactions[booking_date],"&gt;"&amp;D12,Transactions[booking_date],"&lt;="&amp;F12,Transactions[duplicate_status],""))</x:f>
        <x:v>n.b.</x:v>
      </x:c>
      <x:c r="H12" s="2" t="str">
        <x:f>IF(COUNT(C12,G12)&lt;2,"n.b.",C12+G12)</x:f>
        <x:v>n.b.</x:v>
      </x:c>
      <x:c r="I12" s="25" t="str">
        <x:f>IF(COUNT(E12,H12)&lt;2,"n.b.",H12-E12)</x:f>
        <x:v>n.b.</x:v>
      </x:c>
      <x:c r="J12" s="2" t="str">
        <x:f>IF(ISNUMBER('Settings &amp; Assumptions'!I64),'Settings &amp; Assumptions'!I64,"")</x:f>
      </x:c>
      <x:c r="K12" s="2" t="str">
        <x:f>IF(A12="","",IF(OR(J12&lt;&gt;1,NOT(ISNUMBER(I12))),"Onvolledig",IF(ABS(I12)&gt;0.01,"Verschil","Afgestemd")))</x:f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2" t="str">
        <x:f>IF('Settings &amp; Assumptions'!A65="","",'Settings &amp; Assumptions'!A65)</x:f>
      </x:c>
      <x:c r="B13" s="2" t="str">
        <x:f>IF('Settings &amp; Assumptions'!B65="","",'Settings &amp; Assumptions'!B65)</x:f>
      </x:c>
      <x:c r="C13" s="2" t="str">
        <x:f>IF(ISNUMBER('Settings &amp; Assumptions'!G65),'Settings &amp; Assumptions'!G65,"")</x:f>
      </x:c>
      <x:c r="D13" s="2" t="str">
        <x:f>IF(ISNUMBER('Settings &amp; Assumptions'!H65),'Settings &amp; Assumptions'!H65,"")</x:f>
      </x:c>
      <x:c r="E13" s="2" t="str">
        <x:f>IF(ISNUMBER('Settings &amp; Assumptions'!E65),'Settings &amp; Assumptions'!E65,"")</x:f>
      </x:c>
      <x:c r="F13" s="2" t="str">
        <x:f>IF(ISNUMBER('Settings &amp; Assumptions'!F65),'Settings &amp; Assumptions'!F65,"")</x:f>
      </x:c>
      <x:c r="G13" s="2" t="str">
        <x:f>IF(OR(A13="",NOT(ISNUMBER(D13)),NOT(ISNUMBER(F13))),"n.b.",SUMIFS(Transactions[amount],Transactions[include_in_totals],1,Transactions[account_id],A13,Transactions[booking_date],"&gt;"&amp;D13,Transactions[booking_date],"&lt;="&amp;F13,Transactions[duplicate_status],""))</x:f>
        <x:v>n.b.</x:v>
      </x:c>
      <x:c r="H13" s="2" t="str">
        <x:f>IF(COUNT(C13,G13)&lt;2,"n.b.",C13+G13)</x:f>
        <x:v>n.b.</x:v>
      </x:c>
      <x:c r="I13" s="25" t="str">
        <x:f>IF(COUNT(E13,H13)&lt;2,"n.b.",H13-E13)</x:f>
        <x:v>n.b.</x:v>
      </x:c>
      <x:c r="J13" s="2" t="str">
        <x:f>IF(ISNUMBER('Settings &amp; Assumptions'!I65),'Settings &amp; Assumptions'!I65,"")</x:f>
      </x:c>
      <x:c r="K13" s="2" t="str">
        <x:f>IF(A13="","",IF(OR(J13&lt;&gt;1,NOT(ISNUMBER(I13))),"Onvolledig",IF(ABS(I13)&gt;0.01,"Verschil","Afgestemd")))</x:f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2" t="str">
        <x:f>IF('Settings &amp; Assumptions'!A66="","",'Settings &amp; Assumptions'!A66)</x:f>
      </x:c>
      <x:c r="B14" s="2" t="str">
        <x:f>IF('Settings &amp; Assumptions'!B66="","",'Settings &amp; Assumptions'!B66)</x:f>
      </x:c>
      <x:c r="C14" s="2" t="str">
        <x:f>IF(ISNUMBER('Settings &amp; Assumptions'!G66),'Settings &amp; Assumptions'!G66,"")</x:f>
      </x:c>
      <x:c r="D14" s="2" t="str">
        <x:f>IF(ISNUMBER('Settings &amp; Assumptions'!H66),'Settings &amp; Assumptions'!H66,"")</x:f>
      </x:c>
      <x:c r="E14" s="2" t="str">
        <x:f>IF(ISNUMBER('Settings &amp; Assumptions'!E66),'Settings &amp; Assumptions'!E66,"")</x:f>
      </x:c>
      <x:c r="F14" s="2" t="str">
        <x:f>IF(ISNUMBER('Settings &amp; Assumptions'!F66),'Settings &amp; Assumptions'!F66,"")</x:f>
      </x:c>
      <x:c r="G14" s="2" t="str">
        <x:f>IF(OR(A14="",NOT(ISNUMBER(D14)),NOT(ISNUMBER(F14))),"n.b.",SUMIFS(Transactions[amount],Transactions[include_in_totals],1,Transactions[account_id],A14,Transactions[booking_date],"&gt;"&amp;D14,Transactions[booking_date],"&lt;="&amp;F14,Transactions[duplicate_status],""))</x:f>
        <x:v>n.b.</x:v>
      </x:c>
      <x:c r="H14" s="2" t="str">
        <x:f>IF(COUNT(C14,G14)&lt;2,"n.b.",C14+G14)</x:f>
        <x:v>n.b.</x:v>
      </x:c>
      <x:c r="I14" s="25" t="str">
        <x:f>IF(COUNT(E14,H14)&lt;2,"n.b.",H14-E14)</x:f>
        <x:v>n.b.</x:v>
      </x:c>
      <x:c r="J14" s="2" t="str">
        <x:f>IF(ISNUMBER('Settings &amp; Assumptions'!I66),'Settings &amp; Assumptions'!I66,"")</x:f>
      </x:c>
      <x:c r="K14" s="2" t="str">
        <x:f>IF(A14="","",IF(OR(J14&lt;&gt;1,NOT(ISNUMBER(I14))),"Onvolledig",IF(ABS(I14)&gt;0.01,"Verschil","Afgestemd")))</x:f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2" t="str">
        <x:f>IF('Settings &amp; Assumptions'!A67="","",'Settings &amp; Assumptions'!A67)</x:f>
      </x:c>
      <x:c r="B15" s="2" t="str">
        <x:f>IF('Settings &amp; Assumptions'!B67="","",'Settings &amp; Assumptions'!B67)</x:f>
      </x:c>
      <x:c r="C15" s="2" t="str">
        <x:f>IF(ISNUMBER('Settings &amp; Assumptions'!G67),'Settings &amp; Assumptions'!G67,"")</x:f>
      </x:c>
      <x:c r="D15" s="2" t="str">
        <x:f>IF(ISNUMBER('Settings &amp; Assumptions'!H67),'Settings &amp; Assumptions'!H67,"")</x:f>
      </x:c>
      <x:c r="E15" s="2" t="str">
        <x:f>IF(ISNUMBER('Settings &amp; Assumptions'!E67),'Settings &amp; Assumptions'!E67,"")</x:f>
      </x:c>
      <x:c r="F15" s="2" t="str">
        <x:f>IF(ISNUMBER('Settings &amp; Assumptions'!F67),'Settings &amp; Assumptions'!F67,"")</x:f>
      </x:c>
      <x:c r="G15" s="2" t="str">
        <x:f>IF(OR(A15="",NOT(ISNUMBER(D15)),NOT(ISNUMBER(F15))),"n.b.",SUMIFS(Transactions[amount],Transactions[include_in_totals],1,Transactions[account_id],A15,Transactions[booking_date],"&gt;"&amp;D15,Transactions[booking_date],"&lt;="&amp;F15,Transactions[duplicate_status],""))</x:f>
        <x:v>n.b.</x:v>
      </x:c>
      <x:c r="H15" s="2" t="str">
        <x:f>IF(COUNT(C15,G15)&lt;2,"n.b.",C15+G15)</x:f>
        <x:v>n.b.</x:v>
      </x:c>
      <x:c r="I15" s="25" t="str">
        <x:f>IF(COUNT(E15,H15)&lt;2,"n.b.",H15-E15)</x:f>
        <x:v>n.b.</x:v>
      </x:c>
      <x:c r="J15" s="2" t="str">
        <x:f>IF(ISNUMBER('Settings &amp; Assumptions'!I67),'Settings &amp; Assumptions'!I67,"")</x:f>
      </x:c>
      <x:c r="K15" s="2" t="str">
        <x:f>IF(A15="","",IF(OR(J15&lt;&gt;1,NOT(ISNUMBER(I15))),"Onvolledig",IF(ABS(I15)&gt;0.01,"Verschil","Afgestemd")))</x:f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4" customHeight="1">
      <x:c r="A16" s="2" t="str">
        <x:f>IF('Settings &amp; Assumptions'!A68="","",'Settings &amp; Assumptions'!A68)</x:f>
      </x:c>
      <x:c r="B16" s="2" t="str">
        <x:f>IF('Settings &amp; Assumptions'!B68="","",'Settings &amp; Assumptions'!B68)</x:f>
      </x:c>
      <x:c r="C16" s="2" t="str">
        <x:f>IF(ISNUMBER('Settings &amp; Assumptions'!G68),'Settings &amp; Assumptions'!G68,"")</x:f>
      </x:c>
      <x:c r="D16" s="2" t="str">
        <x:f>IF(ISNUMBER('Settings &amp; Assumptions'!H68),'Settings &amp; Assumptions'!H68,"")</x:f>
      </x:c>
      <x:c r="E16" s="2" t="str">
        <x:f>IF(ISNUMBER('Settings &amp; Assumptions'!E68),'Settings &amp; Assumptions'!E68,"")</x:f>
      </x:c>
      <x:c r="F16" s="2" t="str">
        <x:f>IF(ISNUMBER('Settings &amp; Assumptions'!F68),'Settings &amp; Assumptions'!F68,"")</x:f>
      </x:c>
      <x:c r="G16" s="2" t="str">
        <x:f>IF(OR(A16="",NOT(ISNUMBER(D16)),NOT(ISNUMBER(F16))),"n.b.",SUMIFS(Transactions[amount],Transactions[include_in_totals],1,Transactions[account_id],A16,Transactions[booking_date],"&gt;"&amp;D16,Transactions[booking_date],"&lt;="&amp;F16,Transactions[duplicate_status],""))</x:f>
        <x:v>n.b.</x:v>
      </x:c>
      <x:c r="H16" s="2" t="str">
        <x:f>IF(COUNT(C16,G16)&lt;2,"n.b.",C16+G16)</x:f>
        <x:v>n.b.</x:v>
      </x:c>
      <x:c r="I16" s="25" t="str">
        <x:f>IF(COUNT(E16,H16)&lt;2,"n.b.",H16-E16)</x:f>
        <x:v>n.b.</x:v>
      </x:c>
      <x:c r="J16" s="2" t="str">
        <x:f>IF(ISNUMBER('Settings &amp; Assumptions'!I68),'Settings &amp; Assumptions'!I68,"")</x:f>
      </x:c>
      <x:c r="K16" s="2" t="str">
        <x:f>IF(A16="","",IF(OR(J16&lt;&gt;1,NOT(ISNUMBER(I16))),"Onvolledig",IF(ABS(I16)&gt;0.01,"Verschil","Afgestemd")))</x:f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4" customHeight="1">
      <x:c r="A17" s="2" t="str">
        <x:f>IF('Settings &amp; Assumptions'!A69="","",'Settings &amp; Assumptions'!A69)</x:f>
      </x:c>
      <x:c r="B17" s="2" t="str">
        <x:f>IF('Settings &amp; Assumptions'!B69="","",'Settings &amp; Assumptions'!B69)</x:f>
      </x:c>
      <x:c r="C17" s="2" t="str">
        <x:f>IF(ISNUMBER('Settings &amp; Assumptions'!G69),'Settings &amp; Assumptions'!G69,"")</x:f>
      </x:c>
      <x:c r="D17" s="2" t="str">
        <x:f>IF(ISNUMBER('Settings &amp; Assumptions'!H69),'Settings &amp; Assumptions'!H69,"")</x:f>
      </x:c>
      <x:c r="E17" s="2" t="str">
        <x:f>IF(ISNUMBER('Settings &amp; Assumptions'!E69),'Settings &amp; Assumptions'!E69,"")</x:f>
      </x:c>
      <x:c r="F17" s="2" t="str">
        <x:f>IF(ISNUMBER('Settings &amp; Assumptions'!F69),'Settings &amp; Assumptions'!F69,"")</x:f>
      </x:c>
      <x:c r="G17" s="2" t="str">
        <x:f>IF(OR(A17="",NOT(ISNUMBER(D17)),NOT(ISNUMBER(F17))),"n.b.",SUMIFS(Transactions[amount],Transactions[include_in_totals],1,Transactions[account_id],A17,Transactions[booking_date],"&gt;"&amp;D17,Transactions[booking_date],"&lt;="&amp;F17,Transactions[duplicate_status],""))</x:f>
        <x:v>n.b.</x:v>
      </x:c>
      <x:c r="H17" s="2" t="str">
        <x:f>IF(COUNT(C17,G17)&lt;2,"n.b.",C17+G17)</x:f>
        <x:v>n.b.</x:v>
      </x:c>
      <x:c r="I17" s="25" t="str">
        <x:f>IF(COUNT(E17,H17)&lt;2,"n.b.",H17-E17)</x:f>
        <x:v>n.b.</x:v>
      </x:c>
      <x:c r="J17" s="2" t="str">
        <x:f>IF(ISNUMBER('Settings &amp; Assumptions'!I69),'Settings &amp; Assumptions'!I69,"")</x:f>
      </x:c>
      <x:c r="K17" s="2" t="str">
        <x:f>IF(A17="","",IF(OR(J17&lt;&gt;1,NOT(ISNUMBER(I17))),"Onvolledig",IF(ABS(I17)&gt;0.01,"Verschil","Afgestemd")))</x:f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4" customHeight="1">
      <x:c r="A18" s="2" t="str">
        <x:f>IF('Settings &amp; Assumptions'!A70="","",'Settings &amp; Assumptions'!A70)</x:f>
      </x:c>
      <x:c r="B18" s="2" t="str">
        <x:f>IF('Settings &amp; Assumptions'!B70="","",'Settings &amp; Assumptions'!B70)</x:f>
      </x:c>
      <x:c r="C18" s="2" t="str">
        <x:f>IF(ISNUMBER('Settings &amp; Assumptions'!G70),'Settings &amp; Assumptions'!G70,"")</x:f>
      </x:c>
      <x:c r="D18" s="2" t="str">
        <x:f>IF(ISNUMBER('Settings &amp; Assumptions'!H70),'Settings &amp; Assumptions'!H70,"")</x:f>
      </x:c>
      <x:c r="E18" s="2" t="str">
        <x:f>IF(ISNUMBER('Settings &amp; Assumptions'!E70),'Settings &amp; Assumptions'!E70,"")</x:f>
      </x:c>
      <x:c r="F18" s="2" t="str">
        <x:f>IF(ISNUMBER('Settings &amp; Assumptions'!F70),'Settings &amp; Assumptions'!F70,"")</x:f>
      </x:c>
      <x:c r="G18" s="2" t="str">
        <x:f>IF(OR(A18="",NOT(ISNUMBER(D18)),NOT(ISNUMBER(F18))),"n.b.",SUMIFS(Transactions[amount],Transactions[include_in_totals],1,Transactions[account_id],A18,Transactions[booking_date],"&gt;"&amp;D18,Transactions[booking_date],"&lt;="&amp;F18,Transactions[duplicate_status],""))</x:f>
        <x:v>n.b.</x:v>
      </x:c>
      <x:c r="H18" s="2" t="str">
        <x:f>IF(COUNT(C18,G18)&lt;2,"n.b.",C18+G18)</x:f>
        <x:v>n.b.</x:v>
      </x:c>
      <x:c r="I18" s="25" t="str">
        <x:f>IF(COUNT(E18,H18)&lt;2,"n.b.",H18-E18)</x:f>
        <x:v>n.b.</x:v>
      </x:c>
      <x:c r="J18" s="2" t="str">
        <x:f>IF(ISNUMBER('Settings &amp; Assumptions'!I70),'Settings &amp; Assumptions'!I70,"")</x:f>
      </x:c>
      <x:c r="K18" s="2" t="str">
        <x:f>IF(A18="","",IF(OR(J18&lt;&gt;1,NOT(ISNUMBER(I18))),"Onvolledig",IF(ABS(I18)&gt;0.01,"Verschil","Afgestemd")))</x:f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4" customHeight="1">
      <x:c r="A19" s="2" t="str">
        <x:f>IF('Settings &amp; Assumptions'!A71="","",'Settings &amp; Assumptions'!A71)</x:f>
      </x:c>
      <x:c r="B19" s="2" t="str">
        <x:f>IF('Settings &amp; Assumptions'!B71="","",'Settings &amp; Assumptions'!B71)</x:f>
      </x:c>
      <x:c r="C19" s="2" t="str">
        <x:f>IF(ISNUMBER('Settings &amp; Assumptions'!G71),'Settings &amp; Assumptions'!G71,"")</x:f>
      </x:c>
      <x:c r="D19" s="2" t="str">
        <x:f>IF(ISNUMBER('Settings &amp; Assumptions'!H71),'Settings &amp; Assumptions'!H71,"")</x:f>
      </x:c>
      <x:c r="E19" s="2" t="str">
        <x:f>IF(ISNUMBER('Settings &amp; Assumptions'!E71),'Settings &amp; Assumptions'!E71,"")</x:f>
      </x:c>
      <x:c r="F19" s="2" t="str">
        <x:f>IF(ISNUMBER('Settings &amp; Assumptions'!F71),'Settings &amp; Assumptions'!F71,"")</x:f>
      </x:c>
      <x:c r="G19" s="2" t="str">
        <x:f>IF(OR(A19="",NOT(ISNUMBER(D19)),NOT(ISNUMBER(F19))),"n.b.",SUMIFS(Transactions[amount],Transactions[include_in_totals],1,Transactions[account_id],A19,Transactions[booking_date],"&gt;"&amp;D19,Transactions[booking_date],"&lt;="&amp;F19,Transactions[duplicate_status],""))</x:f>
        <x:v>n.b.</x:v>
      </x:c>
      <x:c r="H19" s="2" t="str">
        <x:f>IF(COUNT(C19,G19)&lt;2,"n.b.",C19+G19)</x:f>
        <x:v>n.b.</x:v>
      </x:c>
      <x:c r="I19" s="25" t="str">
        <x:f>IF(COUNT(E19,H19)&lt;2,"n.b.",H19-E19)</x:f>
        <x:v>n.b.</x:v>
      </x:c>
      <x:c r="J19" s="2" t="str">
        <x:f>IF(ISNUMBER('Settings &amp; Assumptions'!I71),'Settings &amp; Assumptions'!I71,"")</x:f>
      </x:c>
      <x:c r="K19" s="2" t="str">
        <x:f>IF(A19="","",IF(OR(J19&lt;&gt;1,NOT(ISNUMBER(I19))),"Onvolledig",IF(ABS(I19)&gt;0.01,"Verschil","Afgestemd")))</x:f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4" customHeight="1">
      <x:c r="A20" s="2" t="str">
        <x:f>IF('Settings &amp; Assumptions'!A72="","",'Settings &amp; Assumptions'!A72)</x:f>
      </x:c>
      <x:c r="B20" s="2" t="str">
        <x:f>IF('Settings &amp; Assumptions'!B72="","",'Settings &amp; Assumptions'!B72)</x:f>
      </x:c>
      <x:c r="C20" s="2" t="str">
        <x:f>IF(ISNUMBER('Settings &amp; Assumptions'!G72),'Settings &amp; Assumptions'!G72,"")</x:f>
      </x:c>
      <x:c r="D20" s="2" t="str">
        <x:f>IF(ISNUMBER('Settings &amp; Assumptions'!H72),'Settings &amp; Assumptions'!H72,"")</x:f>
      </x:c>
      <x:c r="E20" s="2" t="str">
        <x:f>IF(ISNUMBER('Settings &amp; Assumptions'!E72),'Settings &amp; Assumptions'!E72,"")</x:f>
      </x:c>
      <x:c r="F20" s="2" t="str">
        <x:f>IF(ISNUMBER('Settings &amp; Assumptions'!F72),'Settings &amp; Assumptions'!F72,"")</x:f>
      </x:c>
      <x:c r="G20" s="2" t="str">
        <x:f>IF(OR(A20="",NOT(ISNUMBER(D20)),NOT(ISNUMBER(F20))),"n.b.",SUMIFS(Transactions[amount],Transactions[include_in_totals],1,Transactions[account_id],A20,Transactions[booking_date],"&gt;"&amp;D20,Transactions[booking_date],"&lt;="&amp;F20,Transactions[duplicate_status],""))</x:f>
        <x:v>n.b.</x:v>
      </x:c>
      <x:c r="H20" s="2" t="str">
        <x:f>IF(COUNT(C20,G20)&lt;2,"n.b.",C20+G20)</x:f>
        <x:v>n.b.</x:v>
      </x:c>
      <x:c r="I20" s="25" t="str">
        <x:f>IF(COUNT(E20,H20)&lt;2,"n.b.",H20-E20)</x:f>
        <x:v>n.b.</x:v>
      </x:c>
      <x:c r="J20" s="2" t="str">
        <x:f>IF(ISNUMBER('Settings &amp; Assumptions'!I72),'Settings &amp; Assumptions'!I72,"")</x:f>
      </x:c>
      <x:c r="K20" s="2" t="str">
        <x:f>IF(A20="","",IF(OR(J20&lt;&gt;1,NOT(ISNUMBER(I20))),"Onvolledig",IF(ABS(I20)&gt;0.01,"Verschil","Afgestemd")))</x:f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32" customHeight="1">
      <x:c r="A21" s="5" t="str">
        <x:v>Openingssaldo = geboekt saldo aan het einde van openingsdatum. Mutaties tellen vanaf de volgende dag t/m einddatum. Valuta per rekening moet gelijk zijn.</x:v>
      </x:c>
      <x:c r="B21" s="5" t="str">
        <x:v>Openingssaldo = geboekt saldo aan het einde van openingsdatum. Mutaties tellen vanaf de volgende dag t/m einddatum. Valuta per rekening moet gelijk zijn.</x:v>
      </x:c>
      <x:c r="C21" s="5" t="str">
        <x:v>Openingssaldo = geboekt saldo aan het einde van openingsdatum. Mutaties tellen vanaf de volgende dag t/m einddatum. Valuta per rekening moet gelijk zijn.</x:v>
      </x:c>
      <x:c r="D21" s="5" t="str">
        <x:v>Openingssaldo = geboekt saldo aan het einde van openingsdatum. Mutaties tellen vanaf de volgende dag t/m einddatum. Valuta per rekening moet gelijk zijn.</x:v>
      </x:c>
      <x:c r="E21" s="5" t="str">
        <x:v>Openingssaldo = geboekt saldo aan het einde van openingsdatum. Mutaties tellen vanaf de volgende dag t/m einddatum. Valuta per rekening moet gelijk zijn.</x:v>
      </x:c>
      <x:c r="F21" s="5" t="str">
        <x:v>Openingssaldo = geboekt saldo aan het einde van openingsdatum. Mutaties tellen vanaf de volgende dag t/m einddatum. Valuta per rekening moet gelijk zijn.</x:v>
      </x:c>
      <x:c r="G21" s="5" t="str">
        <x:v>Openingssaldo = geboekt saldo aan het einde van openingsdatum. Mutaties tellen vanaf de volgende dag t/m einddatum. Valuta per rekening moet gelijk zijn.</x:v>
      </x:c>
      <x:c r="H21" s="5" t="str">
        <x:v>Openingssaldo = geboekt saldo aan het einde van openingsdatum. Mutaties tellen vanaf de volgende dag t/m einddatum. Valuta per rekening moet gelijk zijn.</x:v>
      </x:c>
      <x:c r="I21" s="5" t="str">
        <x:v>Openingssaldo = geboekt saldo aan het einde van openingsdatum. Mutaties tellen vanaf de volgende dag t/m einddatum. Valuta per rekening moet gelijk zijn.</x:v>
      </x:c>
      <x:c r="J21" s="5" t="str">
        <x:v>Openingssaldo = geboekt saldo aan het einde van openingsdatum. Mutaties tellen vanaf de volgende dag t/m einddatum. Valuta per rekening moet gelijk zijn.</x:v>
      </x:c>
      <x:c r="K21" s="5" t="str">
        <x:v>Openingssaldo = geboekt saldo aan het einde van openingsdatum. Mutaties tellen vanaf de volgende dag t/m einddatum. Valuta per rekening moet gelijk zijn.</x:v>
      </x:c>
      <x:c r="L21" s="5" t="str">
        <x:v>Openingssaldo = geboekt saldo aan het einde van openingsdatum. Mutaties tellen vanaf de volgende dag t/m einddatum. Valuta per rekening moet gelijk zijn.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4" customHeight="1">
      <x:c r="A23" s="2" t="str">
        <x:v>Onbekende classificatie</x:v>
      </x:c>
      <x:c r="B23" s="2"/>
      <x:c r="C23" s="2"/>
      <x:c r="D23" s="2"/>
      <x:c r="E23" s="16" t="n">
        <x:f>COUNTIFS(Transactions[classification],"unknown")</x:f>
        <x:v>0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4" customHeight="1">
      <x:c r="A24" s="2" t="str">
        <x:v>Dubbele importregels</x:v>
      </x:c>
      <x:c r="B24" s="2"/>
      <x:c r="C24" s="2"/>
      <x:c r="D24" s="2"/>
      <x:c r="E24" s="16" t="n">
        <x:f>COUNTIFS(Transactions[duplicate_status],"duplicate")</x:f>
        <x:v>0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4" customHeight="1">
      <x:c r="A25" s="2" t="str">
        <x:v>Conflicterende importregels</x:v>
      </x:c>
      <x:c r="B25" s="2"/>
      <x:c r="C25" s="2"/>
      <x:c r="D25" s="2"/>
      <x:c r="E25" s="16" t="n">
        <x:f>COUNTIFS(Transactions[duplicate_status],"conflict")</x:f>
        <x:v>0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4" customHeight="1">
      <x:c r="A26" s="2" t="str">
        <x:v>Reserve versus banksaldo</x:v>
      </x:c>
      <x:c r="B26" s="2"/>
      <x:c r="C26" s="2"/>
      <x:c r="D26" s="2"/>
      <x:c r="E26" s="16" t="str">
        <x:f>IF(COUNT('Net Worth'!E6,'Net Worth'!E14)&lt;2,"n.b.",'Net Worth'!E6-'Net Worth'!E14)</x:f>
        <x:v>n.b.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4" customHeight="1">
      <x:c r="A27" s="2" t="str">
        <x:v>Doelinleg versus maandbudget</x:v>
      </x:c>
      <x:c r="B27" s="2"/>
      <x:c r="C27" s="2"/>
      <x:c r="D27" s="2"/>
      <x:c r="E27" s="16" t="str">
        <x:f>IF(NOT(ISNUMBER('Settings &amp; Assumptions'!$B$28)),"n.b.",'Settings &amp; Assumptions'!$B$28-SUM('Financial Goals'!G6:G10))</x:f>
        <x:v>n.b.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32" customHeight="1">
      <x:c r="A30" s="5" t="str">
        <x:v>Audit: omzet = uitgereikte facturen excl. btw; kosten = geboekte niet-geactiveerde kosten; vrije cash = bank − schulden − leveranciers − belasting − unieke reserves.</x:v>
      </x:c>
      <x:c r="B30" s="5" t="str">
        <x:v>Audit: omzet = uitgereikte facturen excl. btw; kosten = geboekte niet-geactiveerde kosten; vrije cash = bank − schulden − leveranciers − belasting − unieke reserves.</x:v>
      </x:c>
      <x:c r="C30" s="5" t="str">
        <x:v>Audit: omzet = uitgereikte facturen excl. btw; kosten = geboekte niet-geactiveerde kosten; vrije cash = bank − schulden − leveranciers − belasting − unieke reserves.</x:v>
      </x:c>
      <x:c r="D30" s="5" t="str">
        <x:v>Audit: omzet = uitgereikte facturen excl. btw; kosten = geboekte niet-geactiveerde kosten; vrije cash = bank − schulden − leveranciers − belasting − unieke reserves.</x:v>
      </x:c>
      <x:c r="E30" s="5" t="str">
        <x:v>Audit: omzet = uitgereikte facturen excl. btw; kosten = geboekte niet-geactiveerde kosten; vrije cash = bank − schulden − leveranciers − belasting − unieke reserves.</x:v>
      </x:c>
      <x:c r="F30" s="5" t="str">
        <x:v>Audit: omzet = uitgereikte facturen excl. btw; kosten = geboekte niet-geactiveerde kosten; vrije cash = bank − schulden − leveranciers − belasting − unieke reserves.</x:v>
      </x:c>
      <x:c r="G30" s="5" t="str">
        <x:v>Audit: omzet = uitgereikte facturen excl. btw; kosten = geboekte niet-geactiveerde kosten; vrije cash = bank − schulden − leveranciers − belasting − unieke reserves.</x:v>
      </x:c>
      <x:c r="H30" s="5" t="str">
        <x:v>Audit: omzet = uitgereikte facturen excl. btw; kosten = geboekte niet-geactiveerde kosten; vrije cash = bank − schulden − leveranciers − belasting − unieke reserves.</x:v>
      </x:c>
      <x:c r="I30" s="5" t="str">
        <x:v>Audit: omzet = uitgereikte facturen excl. btw; kosten = geboekte niet-geactiveerde kosten; vrije cash = bank − schulden − leveranciers − belasting − unieke reserves.</x:v>
      </x:c>
      <x:c r="J30" s="5" t="str">
        <x:v>Audit: omzet = uitgereikte facturen excl. btw; kosten = geboekte niet-geactiveerde kosten; vrije cash = bank − schulden − leveranciers − belasting − unieke reserves.</x:v>
      </x:c>
      <x:c r="K30" s="5" t="str">
        <x:v>Audit: omzet = uitgereikte facturen excl. btw; kosten = geboekte niet-geactiveerde kosten; vrije cash = bank − schulden − leveranciers − belasting − unieke reserves.</x:v>
      </x:c>
      <x:c r="L30" s="5" t="str">
        <x:v>Audit: omzet = uitgereikte facturen excl. btw; kosten = geboekte niet-geactiveerde kosten; vrije cash = bank − schulden − leveranciers − belasting − unieke reserves.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32" customHeight="1">
      <x:c r="A32" s="5" t="str">
        <x:v>Banktransacties worden niet opnieuw bij facturen of kosten opgeteld. Privéonttrekkingen en interne transfers zijn geen omzet of consumptie.</x:v>
      </x:c>
      <x:c r="B32" s="5" t="str">
        <x:v>Banktransacties worden niet opnieuw bij facturen of kosten opgeteld. Privéonttrekkingen en interne transfers zijn geen omzet of consumptie.</x:v>
      </x:c>
      <x:c r="C32" s="5" t="str">
        <x:v>Banktransacties worden niet opnieuw bij facturen of kosten opgeteld. Privéonttrekkingen en interne transfers zijn geen omzet of consumptie.</x:v>
      </x:c>
      <x:c r="D32" s="5" t="str">
        <x:v>Banktransacties worden niet opnieuw bij facturen of kosten opgeteld. Privéonttrekkingen en interne transfers zijn geen omzet of consumptie.</x:v>
      </x:c>
      <x:c r="E32" s="5" t="str">
        <x:v>Banktransacties worden niet opnieuw bij facturen of kosten opgeteld. Privéonttrekkingen en interne transfers zijn geen omzet of consumptie.</x:v>
      </x:c>
      <x:c r="F32" s="5" t="str">
        <x:v>Banktransacties worden niet opnieuw bij facturen of kosten opgeteld. Privéonttrekkingen en interne transfers zijn geen omzet of consumptie.</x:v>
      </x:c>
      <x:c r="G32" s="5" t="str">
        <x:v>Banktransacties worden niet opnieuw bij facturen of kosten opgeteld. Privéonttrekkingen en interne transfers zijn geen omzet of consumptie.</x:v>
      </x:c>
      <x:c r="H32" s="5" t="str">
        <x:v>Banktransacties worden niet opnieuw bij facturen of kosten opgeteld. Privéonttrekkingen en interne transfers zijn geen omzet of consumptie.</x:v>
      </x:c>
      <x:c r="I32" s="5" t="str">
        <x:v>Banktransacties worden niet opnieuw bij facturen of kosten opgeteld. Privéonttrekkingen en interne transfers zijn geen omzet of consumptie.</x:v>
      </x:c>
      <x:c r="J32" s="5" t="str">
        <x:v>Banktransacties worden niet opnieuw bij facturen of kosten opgeteld. Privéonttrekkingen en interne transfers zijn geen omzet of consumptie.</x:v>
      </x:c>
      <x:c r="K32" s="5" t="str">
        <x:v>Banktransacties worden niet opnieuw bij facturen of kosten opgeteld. Privéonttrekkingen en interne transfers zijn geen omzet of consumptie.</x:v>
      </x:c>
      <x:c r="L32" s="5" t="str">
        <x:v>Banktransacties worden niet opnieuw bij facturen of kosten opgeteld. Privéonttrekkingen en interne transfers zijn geen omzet of consumptie.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</x:sheetData>
  <x:mergeCells>
    <x:mergeCell ref="A2:L2"/>
    <x:mergeCell ref="A3:L3"/>
    <x:mergeCell ref="A21:L21"/>
    <x:mergeCell ref="A23:D23"/>
    <x:mergeCell ref="E23:G23"/>
    <x:mergeCell ref="A24:D24"/>
    <x:mergeCell ref="E24:G24"/>
    <x:mergeCell ref="A25:D25"/>
    <x:mergeCell ref="E25:G25"/>
    <x:mergeCell ref="A26:D26"/>
    <x:mergeCell ref="E26:G26"/>
    <x:mergeCell ref="A27:D27"/>
    <x:mergeCell ref="E27:G27"/>
    <x:mergeCell ref="A30:L30"/>
    <x:mergeCell ref="A32:L32"/>
    <x:mergeCell ref="N2:P2"/>
  </x:mergeCells>
  <x:pageMargins left="0.7" right="0.7" top="0.75" bottom="0.75" header="0.3" footer="0.3"/>
  <x:tableParts count="1">
    <x:tablePart xmlns:r="http://schemas.openxmlformats.org/officeDocument/2006/relationships" r:id="R82bfc96b4bbc4bff"/>
  </x:tableParts>
</x:worksheet>
</file>