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bbeee679b41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d6713d00349493f"/>
    <x:sheet xmlns:r="http://schemas.openxmlformats.org/officeDocument/2006/relationships" name="Data &amp; Targets" sheetId="2" r:id="R54ed41efcc0d44b6"/>
    <x:sheet xmlns:r="http://schemas.openxmlformats.org/officeDocument/2006/relationships" name="_Chart Helpers" sheetId="3" r:id="R7dad88eec7e34626"/>
  </x:sheets>
</x:workbook>
</file>

<file path=xl/sharedStrings.xml><?xml version="1.0" encoding="utf-8"?>
<x:sst xmlns:x="http://schemas.openxmlformats.org/spreadsheetml/2006/main">
  <x:si>
    <x:t xml:space="preserve">Website Analytics Dashboard</x:t>
  </x:si>
  <x:si>
    <x:t xml:space="preserve">SELECTED REPORTING PERIOD</x:t>
  </x:si>
  <x:si>
    <x:t xml:space="preserve">DATA CURRENT THROUGH</x:t>
  </x:si>
  <x:si>
    <x:t xml:space="preserve">Dashboard</x:t>
  </x:si>
  <x:si>
    <x:t xml:space="preserve">ACTIVE USERS</x:t>
  </x:si>
  <x:si>
    <x:t xml:space="preserve">NEW USERS</x:t>
  </x:si>
  <x:si>
    <x:t xml:space="preserve">30-DAY RETENTION</x:t>
  </x:si>
  <x:si>
    <x:t xml:space="preserve">TRIAL-TO-PAID</x:t>
  </x:si>
  <x:si>
    <x:t xml:space="preserve">vs prior</x:t>
  </x:si>
  <x:si>
    <x:t xml:space="preserve">vs target</x:t>
  </x:si>
  <x:si>
    <x:t xml:space="preserve">SESSIONS / USER</x:t>
  </x:si>
  <x:si>
    <x:t xml:space="preserve">MONTHLY RECURRING REVENUE</x:t>
  </x:si>
  <x:si>
    <x:t xml:space="preserve">BOUNCE RATE</x:t>
  </x:si>
  <x:si>
    <x:t xml:space="preserve">MRR / ACTIVE USER</x:t>
  </x:si>
  <x:si>
    <x:t xml:space="preserve">ACTIVE USERS — ACTUAL VS TARGET</x:t>
  </x:si>
  <x:si>
    <x:t xml:space="preserve">MRR — ACTUAL VS TARGET</x:t>
  </x:si>
  <x:si>
    <x:t xml:space="preserve">CONVERSION FUNNEL — SELECTED PERIOD</x:t>
  </x:si>
  <x:si>
    <x:t xml:space="preserve">MRR MIX BY SEGMENT</x:t>
  </x:si>
  <x:si>
    <x:t xml:space="preserve">SELECTED-PERIOD VARIANCE</x:t>
  </x:si>
  <x:si>
    <x:t xml:space="preserve">Metric</x:t>
  </x:si>
  <x:si>
    <x:t xml:space="preserve">Goal</x:t>
  </x:si>
  <x:si>
    <x:t xml:space="preserve">Actual</x:t>
  </x:si>
  <x:si>
    <x:t xml:space="preserve">Target</x:t>
  </x:si>
  <x:si>
    <x:t xml:space="preserve">Absolute Variance</x:t>
  </x:si>
  <x:si>
    <x:t xml:space="preserve">Variance %</x:t>
  </x:si>
  <x:si>
    <x:t xml:space="preserve">Status</x:t>
  </x:si>
  <x:si>
    <x:t xml:space="preserve">Status is direction-aware: most metrics favor higher results, while Bounce Rate explicitly favors lower results. Watch thresholds are within 5% of target.</x:t>
  </x:si>
  <x:si>
    <x:t xml:space="preserve">Synthetic illustrative data for template use.</x:t>
  </x:si>
  <x:si>
    <x:t xml:space="preserve">Data &amp; Targets</x:t>
  </x:si>
  <x:si>
    <x:t xml:space="preserve">HOW TO USE</x:t>
  </x:si>
  <x:si>
    <x:t xml:space="preserve">Paste or replace synthetic monthly actuals and targets in yellow cells B15:P26. Keep dates as real month-start dates.</x:t>
  </x:si>
  <x:si>
    <x:t xml:space="preserve">Choose Selected Period in C8. Dashboard KPIs, comparisons, variance status, funnel, and mix recalculate from that period.</x:t>
  </x:si>
  <x:si>
    <x:t xml:space="preserve">Selected Period</x:t>
  </x:si>
  <x:si>
    <x:t xml:space="preserve">Data Current Through</x:t>
  </x:si>
  <x:si>
    <x:t xml:space="preserve">Source Note</x:t>
  </x:si>
  <x:si>
    <x:t xml:space="preserve">Synthetic generic example data for template review; replace only yellow inputs.</x:t>
  </x:si>
  <x:si>
    <x:t xml:space="preserve">MONTHLY ACTUALS &amp; TARGETS — EDIT YELLOW CELLS</x:t>
  </x:si>
  <x:si>
    <x:t xml:space="preserve">Period</x:t>
  </x:si>
  <x:si>
    <x:t xml:space="preserve">Active Users</x:t>
  </x:si>
  <x:si>
    <x:t xml:space="preserve">New Users</x:t>
  </x:si>
  <x:si>
    <x:t xml:space="preserve">30-Day Retention</x:t>
  </x:si>
  <x:si>
    <x:t xml:space="preserve">Trial-to-Paid Conversion</x:t>
  </x:si>
  <x:si>
    <x:t xml:space="preserve">Sessions / User</x:t>
  </x:si>
  <x:si>
    <x:t xml:space="preserve">MRR</x:t>
  </x:si>
  <x:si>
    <x:t xml:space="preserve">Bounce Rate</x:t>
  </x:si>
  <x:si>
    <x:t xml:space="preserve">Active Users Target</x:t>
  </x:si>
  <x:si>
    <x:t xml:space="preserve">New Users Target</x:t>
  </x:si>
  <x:si>
    <x:t xml:space="preserve">Retention Target</x:t>
  </x:si>
  <x:si>
    <x:t xml:space="preserve">Conversion Target</x:t>
  </x:si>
  <x:si>
    <x:t xml:space="preserve">Sessions Target</x:t>
  </x:si>
  <x:si>
    <x:t xml:space="preserve">MRR Target</x:t>
  </x:si>
  <x:si>
    <x:t xml:space="preserve">Bounce Target</x:t>
  </x:si>
  <x:si>
    <x:t xml:space="preserve">FUNNEL DRIVERS — EDIT YELLOW CELLS</x:t>
  </x:si>
  <x:si>
    <x:t xml:space="preserve">SEGMENT MIX — EDIT YELLOW CELLS</x:t>
  </x:si>
  <x:si>
    <x:t xml:space="preserve">Driver</x:t>
  </x:si>
  <x:si>
    <x:t xml:space="preserve">Value</x:t>
  </x:si>
  <x:si>
    <x:t xml:space="preserve">Segment</x:t>
  </x:si>
  <x:si>
    <x:t xml:space="preserve">Share</x:t>
  </x:si>
  <x:si>
    <x:t xml:space="preserve">Visitors per active user</x:t>
  </x:si>
  <x:si>
    <x:t xml:space="preserve">Enterprise</x:t>
  </x:si>
  <x:si>
    <x:t xml:space="preserve">Visitor to signup</x:t>
  </x:si>
  <x:si>
    <x:t xml:space="preserve">Midmarket</x:t>
  </x:si>
  <x:si>
    <x:t xml:space="preserve">Signup completion</x:t>
  </x:si>
  <x:si>
    <x:t xml:space="preserve">SMB</x:t>
  </x:si>
  <x:si>
    <x:t xml:space="preserve">Workspace activation</x:t>
  </x:si>
  <x:si>
    <x:t xml:space="preserve">Self-Svc</x:t>
  </x:si>
  <x:si>
    <x:t xml:space="preserve">Activation to paid</x:t>
  </x:si>
  <x:si>
    <x:t xml:space="preserve">Share Check</x:t>
  </x:si>
</x:sst>
</file>

<file path=xl/styles.xml><?xml version="1.0" encoding="utf-8"?>
<x:styleSheet xmlns:x="http://schemas.openxmlformats.org/spreadsheetml/2006/main">
  <x:numFmts count="8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</x:numFmts>
  <x:fonts count="20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2d7595c98e4ca8" /><Relationship Type="http://schemas.openxmlformats.org/officeDocument/2006/relationships/theme" Target="/xl/theme/theme1.xml" Id="Rca6e3d876f8d4277" /><Relationship Type="http://schemas.openxmlformats.org/officeDocument/2006/relationships/sharedStrings" Target="/xl/sharedStrings.xml" Id="R52a4d943576d49a5" /><Relationship Type="http://schemas.openxmlformats.org/officeDocument/2006/relationships/worksheet" Target="/xl/worksheets/sheet1.xml" Id="Rfd6713d00349493f" /><Relationship Type="http://schemas.openxmlformats.org/officeDocument/2006/relationships/worksheet" Target="/xl/worksheets/sheet2.xml" Id="R54ed41efcc0d44b6" /><Relationship Type="http://schemas.openxmlformats.org/officeDocument/2006/relationships/worksheet" Target="/xl/worksheets/sheet3.xml" Id="R7dad88eec7e346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7dbb5947454064" /><Relationship Type="http://schemas.openxmlformats.org/officeDocument/2006/relationships/chart" Target="/xl/drawings/charts/chart2.xml" Id="Rf2b4b36eec314dc2" /><Relationship Type="http://schemas.openxmlformats.org/officeDocument/2006/relationships/chart" Target="/xl/drawings/charts/chart3.xml" Id="R5c12900ac8394db5" /><Relationship Type="http://schemas.openxmlformats.org/officeDocument/2006/relationships/chart" Target="/xl/drawings/charts/chart4.xml" Id="R6c988c3a9ad14eb0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Active users vs target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1"/>
        <c:ser>
          <c:idx val="0"/>
          <c:order val="0"/>
          <c:tx>
            <c:v>Active Users</c:v>
          </c:tx>
          <c:spPr>
            <a:ln xmlns:a="http://schemas.openxmlformats.org/drawingml/2006/main" w="28575" cmpd="sng">
              <a:solidFill>
                <a:srgbClr val="43D3FF">
                  <a:alpha val="100000"/>
                </a:srgbClr>
              </a:solidFill>
            </a:ln>
          </c:spPr>
          <c:marker>
            <c:symbol val="none"/>
          </c:marker>
          <c:dLbls/>
          <c:cat>
            <c:strRef>
              <c:f>'_Chart Helpers'!$H$2:$H$13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'_Chart Helpers'!$I$2:$I$13</c:f>
              <c:numCache>
                <c:formatCode>General</c:formatCode>
                <c:ptCount val="12"/>
                <c:pt idx="0">
                  <c:v>14800</c:v>
                </c:pt>
                <c:pt idx="1">
                  <c:v>15650</c:v>
                </c:pt>
                <c:pt idx="2">
                  <c:v>16900</c:v>
                </c:pt>
                <c:pt idx="3">
                  <c:v>18250</c:v>
                </c:pt>
                <c:pt idx="4">
                  <c:v>19700</c:v>
                </c:pt>
                <c:pt idx="5">
                  <c:v>21050</c:v>
                </c:pt>
                <c:pt idx="6">
                  <c:v>22800</c:v>
                </c:pt>
                <c:pt idx="7">
                  <c:v>24400</c:v>
                </c:pt>
                <c:pt idx="8">
                  <c:v>26150</c:v>
                </c:pt>
                <c:pt idx="9">
                  <c:v>27900</c:v>
                </c:pt>
                <c:pt idx="10">
                  <c:v>29650</c:v>
                </c:pt>
                <c:pt idx="11">
                  <c:v>31500</c:v>
                </c:pt>
              </c:numCache>
            </c:numRef>
          </c:val>
          <c:smooth val="0"/>
        </c:ser>
        <c:ser>
          <c:idx val="1"/>
          <c:order val="1"/>
          <c:tx>
            <c:v>Target</c:v>
          </c:tx>
          <c:spPr>
            <a:ln xmlns:a="http://schemas.openxmlformats.org/drawingml/2006/main" w="28575" cmpd="sng">
              <a:solidFill>
                <a:srgbClr val="FBBF24">
                  <a:alpha val="100000"/>
                </a:srgbClr>
              </a:solidFill>
            </a:ln>
          </c:spPr>
          <c:marker>
            <c:symbol val="none"/>
          </c:marker>
          <c:dLbls/>
          <c:cat>
            <c:strRef>
              <c:f>'_Chart Helpers'!$H$2:$H$13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'_Chart Helpers'!$J$2:$J$13</c:f>
              <c:numCache>
                <c:formatCode>General</c:formatCode>
                <c:ptCount val="12"/>
                <c:pt idx="0">
                  <c:v>15000</c:v>
                </c:pt>
                <c:pt idx="1">
                  <c:v>16000</c:v>
                </c:pt>
                <c:pt idx="2">
                  <c:v>17000</c:v>
                </c:pt>
                <c:pt idx="3">
                  <c:v>18500</c:v>
                </c:pt>
                <c:pt idx="4">
                  <c:v>20000</c:v>
                </c:pt>
                <c:pt idx="5">
                  <c:v>21500</c:v>
                </c:pt>
                <c:pt idx="6">
                  <c:v>23000</c:v>
                </c:pt>
                <c:pt idx="7">
                  <c:v>24500</c:v>
                </c:pt>
                <c:pt idx="8">
                  <c:v>26000</c:v>
                </c:pt>
                <c:pt idx="9">
                  <c:v>28000</c:v>
                </c:pt>
                <c:pt idx="10">
                  <c:v>29500</c:v>
                </c:pt>
                <c:pt idx="11">
                  <c:v>30000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numFmt formatCode="0,&quot;K&quot;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MRR vs target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v>MRR</c:v>
          </c:tx>
          <c:spPr>
            <a:solidFill xmlns:a="http://schemas.openxmlformats.org/drawingml/2006/main">
              <a:srgbClr val="34D399"/>
            </a:solidFill>
            <a:ln xmlns:a="http://schemas.openxmlformats.org/drawingml/2006/main" cmpd="sng">
              <a:noFill/>
            </a:ln>
          </c:spPr>
          <c:dLbls/>
          <c:cat>
            <c:strRef>
              <c:f>'_Chart Helpers'!$L$2:$L$13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'_Chart Helpers'!$M$2:$M$13</c:f>
              <c:numCache>
                <c:formatCode>General</c:formatCode>
                <c:ptCount val="12"/>
                <c:pt idx="0">
                  <c:v>184000</c:v>
                </c:pt>
                <c:pt idx="1">
                  <c:v>192500</c:v>
                </c:pt>
                <c:pt idx="2">
                  <c:v>207800</c:v>
                </c:pt>
                <c:pt idx="3">
                  <c:v>224400</c:v>
                </c:pt>
                <c:pt idx="4">
                  <c:v>241600</c:v>
                </c:pt>
                <c:pt idx="5">
                  <c:v>258900</c:v>
                </c:pt>
                <c:pt idx="6">
                  <c:v>281300</c:v>
                </c:pt>
                <c:pt idx="7">
                  <c:v>303200</c:v>
                </c:pt>
                <c:pt idx="8">
                  <c:v>328500</c:v>
                </c:pt>
                <c:pt idx="9">
                  <c:v>351800</c:v>
                </c:pt>
                <c:pt idx="10">
                  <c:v>376400</c:v>
                </c:pt>
                <c:pt idx="11">
                  <c:v>403700</c:v>
                </c:pt>
              </c:numCache>
            </c:numRef>
          </c:val>
        </c:ser>
        <c:ser>
          <c:idx val="1"/>
          <c:order val="1"/>
          <c:tx>
            <c:v>Target</c:v>
          </c:tx>
          <c:spPr>
            <a:solidFill xmlns:a="http://schemas.openxmlformats.org/drawingml/2006/main">
              <a:srgbClr val="E97132"/>
            </a:solidFill>
            <a:ln xmlns:a="http://schemas.openxmlformats.org/drawingml/2006/main" cmpd="sng">
              <a:noFill/>
            </a:ln>
          </c:spPr>
          <c:dLbls/>
          <c:cat>
            <c:strRef>
              <c:f>'_Chart Helpers'!$L$2:$L$13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'_Chart Helpers'!$N$2:$N$13</c:f>
              <c:numCache>
                <c:formatCode>General</c:formatCode>
                <c:ptCount val="12"/>
                <c:pt idx="0">
                  <c:v>185000</c:v>
                </c:pt>
                <c:pt idx="1">
                  <c:v>195000</c:v>
                </c:pt>
                <c:pt idx="2">
                  <c:v>205000</c:v>
                </c:pt>
                <c:pt idx="3">
                  <c:v>230000</c:v>
                </c:pt>
                <c:pt idx="4">
                  <c:v>245000</c:v>
                </c:pt>
                <c:pt idx="5">
                  <c:v>262000</c:v>
                </c:pt>
                <c:pt idx="6">
                  <c:v>285000</c:v>
                </c:pt>
                <c:pt idx="7">
                  <c:v>300000</c:v>
                </c:pt>
                <c:pt idx="8">
                  <c:v>330000</c:v>
                </c:pt>
                <c:pt idx="9">
                  <c:v>355000</c:v>
                </c:pt>
                <c:pt idx="10">
                  <c:v>380000</c:v>
                </c:pt>
                <c:pt idx="11">
                  <c:v>400000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numFmt formatCode="\$0,&quot;K&quot;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charts/chart3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Visitor-to-paid funnel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bar"/>
        <c:grouping val="clustered"/>
        <c:varyColors val="1"/>
        <c:ser>
          <c:idx val="0"/>
          <c:order val="0"/>
          <c:tx>
            <c:v>Users</c:v>
          </c:tx>
          <c:spPr>
            <a:solidFill xmlns:a="http://schemas.openxmlformats.org/drawingml/2006/main">
              <a:srgbClr val="43D3FF"/>
            </a:solidFill>
            <a:ln xmlns:a="http://schemas.openxmlformats.org/drawingml/2006/main" cmpd="sng">
              <a:noFill/>
            </a:ln>
          </c:spPr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900" b="1" i="0">
                      <a:solidFill>
                        <a:schemeClr val="bg1">
                          <a:lumMod val="75000"/>
                        </a:schemeClr>
                      </a:solidFill>
                      <a:latin typeface="Arial"/>
                      <a:ea typeface="Arial"/>
                      <a:cs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1" i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'_Chart Helpers'!$P$2:$P$6</c:f>
              <c:strCache>
                <c:ptCount val="5"/>
                <c:pt idx="0">
                  <c:v>Paid Accounts</c:v>
                </c:pt>
                <c:pt idx="1">
                  <c:v>Activated Users</c:v>
                </c:pt>
                <c:pt idx="2">
                  <c:v>Signed Up</c:v>
                </c:pt>
                <c:pt idx="3">
                  <c:v>Signup Started</c:v>
                </c:pt>
                <c:pt idx="4">
                  <c:v>Site Visitors</c:v>
                </c:pt>
              </c:strCache>
            </c:strRef>
          </c:cat>
          <c:val>
            <c:numRef>
              <c:f>'_Chart Helpers'!$Q$2:$Q$6</c:f>
              <c:numCache>
                <c:formatCode>#,##0;[Red]\(#,##0\);\-</c:formatCode>
                <c:ptCount val="5"/>
                <c:pt idx="0">
                  <c:v>871.4630137499998</c:v>
                </c:pt>
                <c:pt idx="1">
                  <c:v>9270.883124999998</c:v>
                </c:pt>
                <c:pt idx="2">
                  <c:v>16123.275</c:v>
                </c:pt>
                <c:pt idx="3">
                  <c:v>22837.5</c:v>
                </c:pt>
                <c:pt idx="4">
                  <c:v>182700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numFmt formatCode="0,&quot;K&quot;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  <c:spPr>
        <a:solidFill xmlns:a="http://schemas.openxmlformats.org/drawingml/2006/main">
          <a:srgbClr val="16212C"/>
        </a:solidFill>
      </c:spPr>
    </c:plotArea>
    <c:plotVisOnly val="1"/>
  </c:chart>
  <c:spPr>
    <a:solidFill xmlns:a="http://schemas.openxmlformats.org/drawingml/2006/main">
      <a:srgbClr val="16212C"/>
    </a:solidFill>
  </c:spPr>
</c:chartSpace>
</file>

<file path=xl/drawings/charts/chart4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Selected-period MRR mix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pieChart>
        <c:ser>
          <c:idx val="0"/>
          <c:order val="0"/>
          <c:dPt>
            <c:idx val="0"/>
            <c:spPr>
              <a:solidFill xmlns:a="http://schemas.openxmlformats.org/drawingml/2006/main">
                <a:srgbClr val="156082"/>
              </a:solidFill>
            </c:spPr>
          </c:dPt>
          <c:dPt>
            <c:idx val="1"/>
            <c:spPr>
              <a:solidFill xmlns:a="http://schemas.openxmlformats.org/drawingml/2006/main">
                <a:srgbClr val="E97132"/>
              </a:solidFill>
            </c:spPr>
          </c:dPt>
          <c:dPt>
            <c:idx val="2"/>
            <c:spPr>
              <a:solidFill xmlns:a="http://schemas.openxmlformats.org/drawingml/2006/main">
                <a:srgbClr val="196B24"/>
              </a:solidFill>
            </c:spPr>
          </c:dPt>
          <c:dPt>
            <c:idx val="3"/>
            <c:spPr>
              <a:solidFill xmlns:a="http://schemas.openxmlformats.org/drawingml/2006/main">
                <a:srgbClr val="0F9ED5"/>
              </a:solidFill>
            </c:spPr>
          </c:dPt>
          <c:dLbls/>
          <c:cat>
            <c:strRef>
              <c:f>'_Chart Helpers'!$S$2:$S$5</c:f>
              <c:strCache>
                <c:ptCount val="4"/>
                <c:pt idx="0">
                  <c:v>Self-Svc</c:v>
                </c:pt>
                <c:pt idx="1">
                  <c:v>SMB</c:v>
                </c:pt>
                <c:pt idx="2">
                  <c:v>Midmarket</c:v>
                </c:pt>
                <c:pt idx="3">
                  <c:v>Enterprise</c:v>
                </c:pt>
              </c:strCache>
            </c:strRef>
          </c:cat>
          <c:val>
            <c:numRef>
              <c:f>'_Chart Helpers'!$T$2:$T$5</c:f>
              <c:numCache>
                <c:formatCode>\$#,##0;[Red]\(\$#,##0\);\-</c:formatCode>
                <c:ptCount val="4"/>
                <c:pt idx="0">
                  <c:v>40370</c:v>
                </c:pt>
                <c:pt idx="1">
                  <c:v>60555</c:v>
                </c:pt>
                <c:pt idx="2">
                  <c:v>121110</c:v>
                </c:pt>
                <c:pt idx="3">
                  <c:v>181665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15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7dbb5947454064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b4b36eec314dc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9</xdr:col>
      <xdr:colOff>0</xdr:colOff>
      <xdr:row>41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12900ac8394db5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988c3a9ad14eb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4ac45e3816e42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2" width="20" style="27" customWidth="1"/>
    <x:col min="3" max="5" width="11" style="27" customWidth="1"/>
    <x:col min="6" max="17" width="13" style="27" customWidth="1"/>
    <x:col min="18" max="16384" width="8.83203125" style="27" customWidth="0"/>
  </x:cols>
  <x:sheetData>
    <x:row r="2" ht="24" customHeight="1">
      <x:c r="B2" s="39" t="s">
        <x:v>0</x:v>
      </x:c>
      <x:c r="C2" s="39"/>
      <x:c r="D2" s="39"/>
      <x:c r="E2" s="39"/>
      <x:c r="F2" s="39"/>
      <x:c r="G2" s="39"/>
      <x:c r="H2" s="39"/>
      <x:c r="I2" s="39"/>
      <x:c r="J2" s="40" t="s">
        <x:v>1</x:v>
      </x:c>
      <x:c r="K2" s="41" t="s">
        <x:v>1</x:v>
      </x:c>
      <x:c r="L2" s="41" t="s">
        <x:v>1</x:v>
      </x:c>
      <x:c r="M2" s="42" t="s">
        <x:v>1</x:v>
      </x:c>
      <x:c r="N2" s="40" t="s">
        <x:v>2</x:v>
      </x:c>
      <x:c r="O2" s="41" t="s">
        <x:v>2</x:v>
      </x:c>
      <x:c r="P2" s="41" t="s">
        <x:v>2</x:v>
      </x:c>
      <x:c r="Q2" s="42" t="s">
        <x:v>2</x:v>
      </x:c>
    </x:row>
    <x:row r="3" ht="24" customHeight="1">
      <x:c r="B3" s="38" t="s">
        <x:v>3</x:v>
      </x:c>
      <x:c r="C3" s="38"/>
      <x:c r="D3" s="38"/>
      <x:c r="E3" s="38"/>
      <x:c r="F3" s="38"/>
      <x:c r="G3" s="38"/>
      <x:c r="H3" s="38"/>
      <x:c r="I3" s="38"/>
      <x:c r="J3" s="43" t="n">
        <x:f>'Data &amp; Targets'!$C$9</x:f>
        <x:v>45992</x:v>
      </x:c>
      <x:c r="K3" s="44"/>
      <x:c r="L3" s="44"/>
      <x:c r="M3" s="45"/>
      <x:c r="N3" s="43" t="n">
        <x:f>'Data &amp; Targets'!$C$10</x:f>
        <x:v>45992</x:v>
      </x:c>
      <x:c r="O3" s="44"/>
      <x:c r="P3" s="44"/>
      <x:c r="Q3" s="45"/>
    </x:row>
    <x:row r="4" ht="20" customHeight="1">
      <x:c r="B4" s="46" t="str">
        <x:f>"Source: "&amp;'Data &amp; Targets'!$C$11</x:f>
        <x:v>Source: Synthetic generic example data for template review; replace only yellow inputs.</x:v>
      </x:c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</x:row>
    <x:row r="5" ht="20" customHeight="1">
      <x:c r="B5" s="47" t="s">
        <x:v>4</x:v>
      </x:c>
      <x:c r="C5" s="48" t="s">
        <x:v>4</x:v>
      </x:c>
      <x:c r="D5" s="48" t="s">
        <x:v>4</x:v>
      </x:c>
      <x:c r="E5" s="49" t="s">
        <x:v>4</x:v>
      </x:c>
      <x:c r="F5" s="47" t="s">
        <x:v>5</x:v>
      </x:c>
      <x:c r="G5" s="48" t="s">
        <x:v>5</x:v>
      </x:c>
      <x:c r="H5" s="48" t="s">
        <x:v>5</x:v>
      </x:c>
      <x:c r="I5" s="49" t="s">
        <x:v>5</x:v>
      </x:c>
      <x:c r="J5" s="47" t="s">
        <x:v>6</x:v>
      </x:c>
      <x:c r="K5" s="48" t="s">
        <x:v>6</x:v>
      </x:c>
      <x:c r="L5" s="48" t="s">
        <x:v>6</x:v>
      </x:c>
      <x:c r="M5" s="49" t="s">
        <x:v>6</x:v>
      </x:c>
      <x:c r="N5" s="47" t="s">
        <x:v>7</x:v>
      </x:c>
      <x:c r="O5" s="48" t="s">
        <x:v>7</x:v>
      </x:c>
      <x:c r="P5" s="48" t="s">
        <x:v>7</x:v>
      </x:c>
      <x:c r="Q5" s="49" t="s">
        <x:v>7</x:v>
      </x:c>
    </x:row>
    <x:row r="6" ht="27" customHeight="1">
      <x:c r="B6" s="50" t="n">
        <x:f>'_Chart Helpers'!$B$2</x:f>
        <x:v>31500</x:v>
      </x:c>
      <x:c r="C6" s="51"/>
      <x:c r="D6" s="51"/>
      <x:c r="E6" s="52"/>
      <x:c r="F6" s="50" t="n">
        <x:f>'_Chart Helpers'!$B$3</x:f>
        <x:v>4480</x:v>
      </x:c>
      <x:c r="G6" s="51"/>
      <x:c r="H6" s="51"/>
      <x:c r="I6" s="52"/>
      <x:c r="J6" s="53" t="n">
        <x:f>'_Chart Helpers'!$B$4</x:f>
        <x:v>0.811</x:v>
      </x:c>
      <x:c r="K6" s="54"/>
      <x:c r="L6" s="54"/>
      <x:c r="M6" s="55"/>
      <x:c r="N6" s="53" t="n">
        <x:f>'_Chart Helpers'!$B$5</x:f>
        <x:v>0.054</x:v>
      </x:c>
      <x:c r="O6" s="54"/>
      <x:c r="P6" s="54"/>
      <x:c r="Q6" s="55"/>
    </x:row>
    <x:row r="7" ht="27" customHeight="1">
      <x:c r="B7" s="50"/>
      <x:c r="C7" s="51"/>
      <x:c r="D7" s="51"/>
      <x:c r="E7" s="52"/>
      <x:c r="F7" s="50"/>
      <x:c r="G7" s="51"/>
      <x:c r="H7" s="51"/>
      <x:c r="I7" s="52"/>
      <x:c r="J7" s="53"/>
      <x:c r="K7" s="54"/>
      <x:c r="L7" s="54"/>
      <x:c r="M7" s="55"/>
      <x:c r="N7" s="53"/>
      <x:c r="O7" s="54"/>
      <x:c r="P7" s="54"/>
      <x:c r="Q7" s="55"/>
    </x:row>
    <x:row r="8" ht="20" customHeight="1">
      <x:c r="B8" s="13" t="n">
        <x:f>IF('_Chart Helpers'!$D$2="","",'_Chart Helpers'!$B$2/'_Chart Helpers'!$D$2-1)</x:f>
        <x:v>0.062394603709949426</x:v>
      </x:c>
      <x:c r="C8" s="14" t="s">
        <x:v>8</x:v>
      </x:c>
      <x:c r="D8" s="15" t="n">
        <x:f>IFERROR('_Chart Helpers'!$B$2/'_Chart Helpers'!$C$2-1,"")</x:f>
        <x:v>0.050000000000000044</x:v>
      </x:c>
      <x:c r="E8" s="16" t="s">
        <x:v>9</x:v>
      </x:c>
      <x:c r="F8" s="13" t="n">
        <x:f>IF('_Chart Helpers'!$D$3="","",'_Chart Helpers'!$B$3/'_Chart Helpers'!$D$3-1)</x:f>
        <x:v>0.05660377358490565</x:v>
      </x:c>
      <x:c r="G8" s="14" t="s">
        <x:v>8</x:v>
      </x:c>
      <x:c r="H8" s="15" t="n">
        <x:f>IFERROR('_Chart Helpers'!$B$3/'_Chart Helpers'!$C$3-1,"")</x:f>
        <x:v>0.018181818181818077</x:v>
      </x:c>
      <x:c r="I8" s="16" t="s">
        <x:v>9</x:v>
      </x:c>
      <x:c r="J8" s="13" t="n">
        <x:f>IF('_Chart Helpers'!$D$4="","",'_Chart Helpers'!$B$4/'_Chart Helpers'!$D$4-1)</x:f>
        <x:v>0.00996264009962644</x:v>
      </x:c>
      <x:c r="K8" s="14" t="s">
        <x:v>8</x:v>
      </x:c>
      <x:c r="L8" s="15" t="n">
        <x:f>IFERROR('_Chart Helpers'!$B$4/'_Chart Helpers'!$C$4-1,"")</x:f>
        <x:v>0.013749999999999929</x:v>
      </x:c>
      <x:c r="M8" s="16" t="s">
        <x:v>9</x:v>
      </x:c>
      <x:c r="N8" s="13" t="n">
        <x:f>IF('_Chart Helpers'!$D$5="","",'_Chart Helpers'!$B$5/'_Chart Helpers'!$D$5-1)</x:f>
        <x:v>0.03846153846153855</x:v>
      </x:c>
      <x:c r="O8" s="14" t="s">
        <x:v>8</x:v>
      </x:c>
      <x:c r="P8" s="15" t="n">
        <x:f>IFERROR('_Chart Helpers'!$B$5/'_Chart Helpers'!$C$5-1,"")</x:f>
        <x:v>0.07999999999999985</x:v>
      </x:c>
      <x:c r="Q8" s="16" t="s">
        <x:v>9</x:v>
      </x:c>
    </x:row>
    <x:row r="9"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 ht="20" customHeight="1">
      <x:c r="B10" s="47" t="s">
        <x:v>10</x:v>
      </x:c>
      <x:c r="C10" s="48" t="s">
        <x:v>10</x:v>
      </x:c>
      <x:c r="D10" s="48" t="s">
        <x:v>10</x:v>
      </x:c>
      <x:c r="E10" s="49" t="s">
        <x:v>10</x:v>
      </x:c>
      <x:c r="F10" s="47" t="s">
        <x:v>11</x:v>
      </x:c>
      <x:c r="G10" s="48" t="s">
        <x:v>11</x:v>
      </x:c>
      <x:c r="H10" s="48" t="s">
        <x:v>11</x:v>
      </x:c>
      <x:c r="I10" s="49" t="s">
        <x:v>11</x:v>
      </x:c>
      <x:c r="J10" s="47" t="s">
        <x:v>12</x:v>
      </x:c>
      <x:c r="K10" s="48" t="s">
        <x:v>12</x:v>
      </x:c>
      <x:c r="L10" s="48" t="s">
        <x:v>12</x:v>
      </x:c>
      <x:c r="M10" s="49" t="s">
        <x:v>12</x:v>
      </x:c>
      <x:c r="N10" s="47" t="s">
        <x:v>13</x:v>
      </x:c>
      <x:c r="O10" s="48" t="s">
        <x:v>13</x:v>
      </x:c>
      <x:c r="P10" s="48" t="s">
        <x:v>13</x:v>
      </x:c>
      <x:c r="Q10" s="49" t="s">
        <x:v>13</x:v>
      </x:c>
    </x:row>
    <x:row r="11" ht="27" customHeight="1">
      <x:c r="B11" s="78" t="n">
        <x:f>'_Chart Helpers'!$B$6</x:f>
        <x:v>6.2</x:v>
      </x:c>
      <x:c r="C11" s="79"/>
      <x:c r="D11" s="79"/>
      <x:c r="E11" s="80"/>
      <x:c r="F11" s="81" t="n">
        <x:f>'_Chart Helpers'!$B$7</x:f>
        <x:v>403700</x:v>
      </x:c>
      <x:c r="G11" s="82"/>
      <x:c r="H11" s="82"/>
      <x:c r="I11" s="83"/>
      <x:c r="J11" s="53" t="n">
        <x:f>'_Chart Helpers'!$B$8</x:f>
        <x:v>0.34</x:v>
      </x:c>
      <x:c r="K11" s="54"/>
      <x:c r="L11" s="54"/>
      <x:c r="M11" s="55"/>
      <x:c r="N11" s="75" t="n">
        <x:f>'_Chart Helpers'!$B$9</x:f>
        <x:v>12.815873015873017</x:v>
      </x:c>
      <x:c r="O11" s="76"/>
      <x:c r="P11" s="76"/>
      <x:c r="Q11" s="77"/>
    </x:row>
    <x:row r="12" ht="27" customHeight="1">
      <x:c r="B12" s="78"/>
      <x:c r="C12" s="79"/>
      <x:c r="D12" s="79"/>
      <x:c r="E12" s="80"/>
      <x:c r="F12" s="81"/>
      <x:c r="G12" s="82"/>
      <x:c r="H12" s="82"/>
      <x:c r="I12" s="83"/>
      <x:c r="J12" s="53"/>
      <x:c r="K12" s="54"/>
      <x:c r="L12" s="54"/>
      <x:c r="M12" s="55"/>
      <x:c r="N12" s="75"/>
      <x:c r="O12" s="76"/>
      <x:c r="P12" s="76"/>
      <x:c r="Q12" s="77"/>
    </x:row>
    <x:row r="13" ht="20" customHeight="1">
      <x:c r="B13" s="13" t="n">
        <x:f>IF('_Chart Helpers'!$D$6="","",'_Chart Helpers'!$B$6/'_Chart Helpers'!$D$6-1)</x:f>
        <x:v>0.03333333333333344</x:v>
      </x:c>
      <x:c r="C13" s="14" t="s">
        <x:v>8</x:v>
      </x:c>
      <x:c r="D13" s="15" t="n">
        <x:f>IFERROR('_Chart Helpers'!$B$6/'_Chart Helpers'!$C$6-1,"")</x:f>
        <x:v>0.03333333333333344</x:v>
      </x:c>
      <x:c r="E13" s="16" t="s">
        <x:v>9</x:v>
      </x:c>
      <x:c r="F13" s="13" t="n">
        <x:f>IF('_Chart Helpers'!$D$7="","",'_Chart Helpers'!$B$7/'_Chart Helpers'!$D$7-1)</x:f>
        <x:v>0.072529224229543</x:v>
      </x:c>
      <x:c r="G13" s="14" t="s">
        <x:v>8</x:v>
      </x:c>
      <x:c r="H13" s="15" t="n">
        <x:f>IFERROR('_Chart Helpers'!$B$7/'_Chart Helpers'!$C$7-1,"")</x:f>
        <x:v>0.00924999999999998</x:v>
      </x:c>
      <x:c r="I13" s="16" t="s">
        <x:v>9</x:v>
      </x:c>
      <x:c r="J13" s="13" t="n">
        <x:f>IF('_Chart Helpers'!$D$8="","",'_Chart Helpers'!$B$8/'_Chart Helpers'!$D$8-1)</x:f>
        <x:v>-0.02857142857142847</x:v>
      </x:c>
      <x:c r="K13" s="14" t="s">
        <x:v>8</x:v>
      </x:c>
      <x:c r="L13" s="15" t="n">
        <x:f>IFERROR('_Chart Helpers'!$B$8/'_Chart Helpers'!$C$8-1,"")</x:f>
        <x:v>-0.05555555555555547</x:v>
      </x:c>
      <x:c r="M13" s="16" t="s">
        <x:v>9</x:v>
      </x:c>
      <x:c r="N13" s="13" t="n">
        <x:f>IF('_Chart Helpers'!$D$9="","",'_Chart Helpers'!$B$9/'_Chart Helpers'!$D$9-1)</x:f>
        <x:v>0.00953941264780811</x:v>
      </x:c>
      <x:c r="O13" s="14" t="s">
        <x:v>8</x:v>
      </x:c>
      <x:c r="P13" s="15" t="n">
        <x:f>IFERROR('_Chart Helpers'!$B$9/'_Chart Helpers'!$C$9-1,"")</x:f>
        <x:v>-0.03880952380952385</x:v>
      </x:c>
      <x:c r="Q13" s="16" t="s">
        <x:v>9</x:v>
      </x:c>
    </x:row>
    <x:row r="14"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</x:row>
    <x:row r="15" ht="22" customHeight="1">
      <x:c r="B15" s="56" t="s">
        <x:v>14</x:v>
      </x:c>
      <x:c r="C15" s="56" t="s">
        <x:v>14</x:v>
      </x:c>
      <x:c r="D15" s="56" t="s">
        <x:v>14</x:v>
      </x:c>
      <x:c r="E15" s="56" t="s">
        <x:v>14</x:v>
      </x:c>
      <x:c r="F15" s="56" t="s">
        <x:v>14</x:v>
      </x:c>
      <x:c r="G15" s="56" t="s">
        <x:v>14</x:v>
      </x:c>
      <x:c r="H15" s="56" t="s">
        <x:v>14</x:v>
      </x:c>
      <x:c r="I15" s="56" t="s">
        <x:v>14</x:v>
      </x:c>
      <x:c r="J15" s="56" t="s">
        <x:v>15</x:v>
      </x:c>
      <x:c r="K15" s="56" t="s">
        <x:v>15</x:v>
      </x:c>
      <x:c r="L15" s="56" t="s">
        <x:v>15</x:v>
      </x:c>
      <x:c r="M15" s="56" t="s">
        <x:v>15</x:v>
      </x:c>
      <x:c r="N15" s="56" t="s">
        <x:v>15</x:v>
      </x:c>
      <x:c r="O15" s="56" t="s">
        <x:v>15</x:v>
      </x:c>
      <x:c r="P15" s="56" t="s">
        <x:v>15</x:v>
      </x:c>
      <x:c r="Q15" s="56" t="s">
        <x:v>15</x:v>
      </x:c>
    </x:row>
    <x:row r="16"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  <x:row r="20"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</x:row>
    <x:row r="21"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</x:row>
    <x:row r="22"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</x:row>
    <x:row r="23"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</x:row>
    <x:row r="24"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</x:row>
    <x:row r="25"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</x:row>
    <x:row r="26"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</x:row>
    <x:row r="27"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</x:row>
    <x:row r="28"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</x:row>
    <x:row r="29" ht="22" customHeight="1">
      <x:c r="B29" s="56" t="s">
        <x:v>16</x:v>
      </x:c>
      <x:c r="C29" s="56" t="s">
        <x:v>16</x:v>
      </x:c>
      <x:c r="D29" s="56" t="s">
        <x:v>16</x:v>
      </x:c>
      <x:c r="E29" s="56" t="s">
        <x:v>16</x:v>
      </x:c>
      <x:c r="F29" s="56" t="s">
        <x:v>16</x:v>
      </x:c>
      <x:c r="G29" s="56" t="s">
        <x:v>16</x:v>
      </x:c>
      <x:c r="H29" s="56" t="s">
        <x:v>16</x:v>
      </x:c>
      <x:c r="I29" s="56" t="s">
        <x:v>16</x:v>
      </x:c>
      <x:c r="J29" s="56" t="s">
        <x:v>17</x:v>
      </x:c>
      <x:c r="K29" s="56" t="s">
        <x:v>17</x:v>
      </x:c>
      <x:c r="L29" s="56" t="s">
        <x:v>17</x:v>
      </x:c>
      <x:c r="M29" s="56" t="s">
        <x:v>17</x:v>
      </x:c>
      <x:c r="N29" s="56" t="s">
        <x:v>17</x:v>
      </x:c>
      <x:c r="O29" s="56" t="s">
        <x:v>17</x:v>
      </x:c>
      <x:c r="P29" s="56" t="s">
        <x:v>17</x:v>
      </x:c>
      <x:c r="Q29" s="56" t="s">
        <x:v>17</x:v>
      </x:c>
    </x:row>
    <x:row r="30"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</x:row>
    <x:row r="31"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</x:row>
    <x:row r="32"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</x:row>
    <x:row r="33"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</x:row>
    <x:row r="34"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</x:row>
    <x:row r="35"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</x:row>
    <x:row r="36"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</x:row>
    <x:row r="37"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</x:row>
    <x:row r="38"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</x:row>
    <x:row r="39"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</x:row>
    <x:row r="40"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</x:row>
    <x:row r="41"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</x:row>
    <x:row r="42"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</x:row>
    <x:row r="43" ht="22" customHeight="1">
      <x:c r="B43" s="56" t="s">
        <x:v>18</x:v>
      </x:c>
      <x:c r="C43" s="56" t="s">
        <x:v>18</x:v>
      </x:c>
      <x:c r="D43" s="56" t="s">
        <x:v>18</x:v>
      </x:c>
      <x:c r="E43" s="56" t="s">
        <x:v>18</x:v>
      </x:c>
      <x:c r="F43" s="56" t="s">
        <x:v>18</x:v>
      </x:c>
      <x:c r="G43" s="56" t="s">
        <x:v>18</x:v>
      </x:c>
      <x:c r="H43" s="56" t="s">
        <x:v>18</x:v>
      </x:c>
      <x:c r="I43" s="56" t="s">
        <x:v>18</x:v>
      </x:c>
      <x:c r="J43" s="56" t="s">
        <x:v>18</x:v>
      </x:c>
      <x:c r="K43" s="56" t="s">
        <x:v>18</x:v>
      </x:c>
      <x:c r="L43" s="56" t="s">
        <x:v>18</x:v>
      </x:c>
      <x:c r="M43" s="56" t="s">
        <x:v>18</x:v>
      </x:c>
      <x:c r="N43" s="56" t="s">
        <x:v>18</x:v>
      </x:c>
      <x:c r="O43" s="56" t="s">
        <x:v>18</x:v>
      </x:c>
      <x:c r="P43" s="56" t="s">
        <x:v>18</x:v>
      </x:c>
      <x:c r="Q43" s="56" t="s">
        <x:v>18</x:v>
      </x:c>
    </x:row>
    <x:row r="44" ht="26" customHeight="1">
      <x:c r="B44" s="17" t="s">
        <x:v>19</x:v>
      </x:c>
      <x:c r="C44" s="17" t="s">
        <x:v>20</x:v>
      </x:c>
      <x:c r="D44" s="17" t="s">
        <x:v>21</x:v>
      </x:c>
      <x:c r="E44" s="17" t="s">
        <x:v>22</x:v>
      </x:c>
      <x:c r="F44" s="17" t="s">
        <x:v>23</x:v>
      </x:c>
      <x:c r="G44" s="17" t="s">
        <x:v>24</x:v>
      </x:c>
      <x:c r="H44" s="17" t="s">
        <x:v>25</x:v>
      </x:c>
      <x:c r="I44" s="12"/>
      <x:c r="J44" s="12"/>
      <x:c r="K44" s="12"/>
      <x:c r="L44" s="12"/>
      <x:c r="M44" s="12"/>
      <x:c r="N44" s="12"/>
      <x:c r="O44" s="12"/>
      <x:c r="P44" s="12"/>
      <x:c r="Q44" s="12"/>
    </x:row>
    <x:row r="45">
      <x:c r="B45" s="18" t="str">
        <x:f>'_Chart Helpers'!$A$2</x:f>
        <x:v>Active Users</x:v>
      </x:c>
      <x:c r="C45" s="19" t="str">
        <x:f>'_Chart Helpers'!$E$2</x:f>
        <x:v>Higher</x:v>
      </x:c>
      <x:c r="D45" s="20" t="n">
        <x:f>'_Chart Helpers'!$B$2</x:f>
        <x:v>31500</x:v>
      </x:c>
      <x:c r="E45" s="20" t="n">
        <x:f>'_Chart Helpers'!$C$2</x:f>
        <x:v>30000</x:v>
      </x:c>
      <x:c r="F45" s="20" t="n">
        <x:f t="shared" ref="F45:F52" si="0">D45-E45</x:f>
        <x:v>1500</x:v>
      </x:c>
      <x:c r="G45" s="21" t="n">
        <x:f t="shared" ref="G45:G52" si="1">IFERROR(D45/E45-1,"")</x:f>
        <x:v>0.050000000000000044</x:v>
      </x:c>
      <x:c r="H45" s="19" t="str">
        <x:f>'_Chart Helpers'!$F$2</x:f>
        <x:v>Favorable</x:v>
      </x:c>
      <x:c r="I45" s="12"/>
      <x:c r="J45" s="57" t="s">
        <x:v>26</x:v>
      </x:c>
      <x:c r="K45" s="58" t="s">
        <x:v>26</x:v>
      </x:c>
      <x:c r="L45" s="58" t="s">
        <x:v>26</x:v>
      </x:c>
      <x:c r="M45" s="58" t="s">
        <x:v>26</x:v>
      </x:c>
      <x:c r="N45" s="58" t="s">
        <x:v>26</x:v>
      </x:c>
      <x:c r="O45" s="58" t="s">
        <x:v>26</x:v>
      </x:c>
      <x:c r="P45" s="58" t="s">
        <x:v>26</x:v>
      </x:c>
      <x:c r="Q45" s="59" t="s">
        <x:v>26</x:v>
      </x:c>
    </x:row>
    <x:row r="46">
      <x:c r="B46" s="18" t="str">
        <x:f>'_Chart Helpers'!$A$3</x:f>
        <x:v>New Users</x:v>
      </x:c>
      <x:c r="C46" s="19" t="str">
        <x:f>'_Chart Helpers'!$E$3</x:f>
        <x:v>Higher</x:v>
      </x:c>
      <x:c r="D46" s="20" t="n">
        <x:f>'_Chart Helpers'!$B$3</x:f>
        <x:v>4480</x:v>
      </x:c>
      <x:c r="E46" s="20" t="n">
        <x:f>'_Chart Helpers'!$C$3</x:f>
        <x:v>4400</x:v>
      </x:c>
      <x:c r="F46" s="20">
        <x:f t="shared" si="0"/>
        <x:v>80</x:v>
      </x:c>
      <x:c r="G46" s="21">
        <x:f t="shared" si="1"/>
        <x:v>1.8181818181818077E-2</x:v>
      </x:c>
      <x:c r="H46" s="19" t="str">
        <x:f>'_Chart Helpers'!$F$3</x:f>
        <x:v>Favorable</x:v>
      </x:c>
      <x:c r="I46" s="12"/>
      <x:c r="J46" s="60" t="s">
        <x:v>26</x:v>
      </x:c>
      <x:c r="K46" s="61" t="s">
        <x:v>26</x:v>
      </x:c>
      <x:c r="L46" s="61" t="s">
        <x:v>26</x:v>
      </x:c>
      <x:c r="M46" s="61" t="s">
        <x:v>26</x:v>
      </x:c>
      <x:c r="N46" s="61" t="s">
        <x:v>26</x:v>
      </x:c>
      <x:c r="O46" s="61" t="s">
        <x:v>26</x:v>
      </x:c>
      <x:c r="P46" s="61" t="s">
        <x:v>26</x:v>
      </x:c>
      <x:c r="Q46" s="62" t="s">
        <x:v>26</x:v>
      </x:c>
    </x:row>
    <x:row r="47">
      <x:c r="B47" s="18" t="str">
        <x:f>'_Chart Helpers'!$A$4</x:f>
        <x:v>30-Day Retention</x:v>
      </x:c>
      <x:c r="C47" s="19" t="str">
        <x:f>'_Chart Helpers'!$E$4</x:f>
        <x:v>Higher</x:v>
      </x:c>
      <x:c r="D47" s="21" t="n">
        <x:f>'_Chart Helpers'!$B$4</x:f>
        <x:v>0.811</x:v>
      </x:c>
      <x:c r="E47" s="21" t="n">
        <x:f>'_Chart Helpers'!$C$4</x:f>
        <x:v>0.8</x:v>
      </x:c>
      <x:c r="F47" s="21">
        <x:f t="shared" si="0"/>
        <x:v>1.100000000000001E-2</x:v>
      </x:c>
      <x:c r="G47" s="21">
        <x:f t="shared" si="1"/>
        <x:v>1.3749999999999929E-2</x:v>
      </x:c>
      <x:c r="H47" s="19" t="str">
        <x:f>'_Chart Helpers'!$F$4</x:f>
        <x:v>Favorable</x:v>
      </x:c>
      <x:c r="I47" s="12"/>
      <x:c r="J47" s="60" t="s">
        <x:v>26</x:v>
      </x:c>
      <x:c r="K47" s="61" t="s">
        <x:v>26</x:v>
      </x:c>
      <x:c r="L47" s="61" t="s">
        <x:v>26</x:v>
      </x:c>
      <x:c r="M47" s="61" t="s">
        <x:v>26</x:v>
      </x:c>
      <x:c r="N47" s="61" t="s">
        <x:v>26</x:v>
      </x:c>
      <x:c r="O47" s="61" t="s">
        <x:v>26</x:v>
      </x:c>
      <x:c r="P47" s="61" t="s">
        <x:v>26</x:v>
      </x:c>
      <x:c r="Q47" s="62" t="s">
        <x:v>26</x:v>
      </x:c>
    </x:row>
    <x:row r="48">
      <x:c r="B48" s="18" t="str">
        <x:f>'_Chart Helpers'!$A$5</x:f>
        <x:v>Trial-to-Paid Conversion</x:v>
      </x:c>
      <x:c r="C48" s="19" t="str">
        <x:f>'_Chart Helpers'!$E$5</x:f>
        <x:v>Higher</x:v>
      </x:c>
      <x:c r="D48" s="21" t="n">
        <x:f>'_Chart Helpers'!$B$5</x:f>
        <x:v>0.054</x:v>
      </x:c>
      <x:c r="E48" s="21" t="n">
        <x:f>'_Chart Helpers'!$C$5</x:f>
        <x:v>0.05</x:v>
      </x:c>
      <x:c r="F48" s="21">
        <x:f t="shared" si="0"/>
        <x:v>3.9999999999999966E-3</x:v>
      </x:c>
      <x:c r="G48" s="21">
        <x:f t="shared" si="1"/>
        <x:v>7.9999999999999849E-2</x:v>
      </x:c>
      <x:c r="H48" s="19" t="str">
        <x:f>'_Chart Helpers'!$F$5</x:f>
        <x:v>Favorable</x:v>
      </x:c>
      <x:c r="I48" s="12"/>
      <x:c r="J48" s="63" t="s">
        <x:v>26</x:v>
      </x:c>
      <x:c r="K48" s="64" t="s">
        <x:v>26</x:v>
      </x:c>
      <x:c r="L48" s="64" t="s">
        <x:v>26</x:v>
      </x:c>
      <x:c r="M48" s="64" t="s">
        <x:v>26</x:v>
      </x:c>
      <x:c r="N48" s="64" t="s">
        <x:v>26</x:v>
      </x:c>
      <x:c r="O48" s="64" t="s">
        <x:v>26</x:v>
      </x:c>
      <x:c r="P48" s="64" t="s">
        <x:v>26</x:v>
      </x:c>
      <x:c r="Q48" s="65" t="s">
        <x:v>26</x:v>
      </x:c>
    </x:row>
    <x:row r="49">
      <x:c r="B49" s="18" t="str">
        <x:f>'_Chart Helpers'!$A$6</x:f>
        <x:v>Sessions / User</x:v>
      </x:c>
      <x:c r="C49" s="19" t="str">
        <x:f>'_Chart Helpers'!$E$6</x:f>
        <x:v>Higher</x:v>
      </x:c>
      <x:c r="D49" s="22" t="n">
        <x:f>'_Chart Helpers'!$B$6</x:f>
        <x:v>6.2</x:v>
      </x:c>
      <x:c r="E49" s="22" t="n">
        <x:f>'_Chart Helpers'!$C$6</x:f>
        <x:v>6</x:v>
      </x:c>
      <x:c r="F49" s="22">
        <x:f t="shared" si="0"/>
        <x:v>0.20000000000000018</x:v>
      </x:c>
      <x:c r="G49" s="21">
        <x:f t="shared" si="1"/>
        <x:v>3.3333333333333437E-2</x:v>
      </x:c>
      <x:c r="H49" s="19" t="str">
        <x:f>'_Chart Helpers'!$F$6</x:f>
        <x:v>Favorable</x:v>
      </x:c>
      <x:c r="I49" s="12"/>
      <x:c r="J49" s="12"/>
      <x:c r="K49" s="12"/>
      <x:c r="L49" s="12"/>
      <x:c r="M49" s="12"/>
      <x:c r="N49" s="12"/>
      <x:c r="O49" s="12"/>
      <x:c r="P49" s="12"/>
      <x:c r="Q49" s="12"/>
    </x:row>
    <x:row r="50">
      <x:c r="B50" s="18" t="str">
        <x:f>'_Chart Helpers'!$A$7</x:f>
        <x:v>Monthly Recurring Revenue</x:v>
      </x:c>
      <x:c r="C50" s="19" t="str">
        <x:f>'_Chart Helpers'!$E$7</x:f>
        <x:v>Higher</x:v>
      </x:c>
      <x:c r="D50" s="23" t="n">
        <x:f>'_Chart Helpers'!$B$7</x:f>
        <x:v>403700</x:v>
      </x:c>
      <x:c r="E50" s="23" t="n">
        <x:f>'_Chart Helpers'!$C$7</x:f>
        <x:v>400000</x:v>
      </x:c>
      <x:c r="F50" s="23">
        <x:f t="shared" si="0"/>
        <x:v>3700</x:v>
      </x:c>
      <x:c r="G50" s="21">
        <x:f t="shared" si="1"/>
        <x:v>9.2499999999999805E-3</x:v>
      </x:c>
      <x:c r="H50" s="19" t="str">
        <x:f>'_Chart Helpers'!$F$7</x:f>
        <x:v>Favorable</x:v>
      </x:c>
      <x:c r="I50" s="12"/>
      <x:c r="J50" s="66" t="s">
        <x:v>27</x:v>
      </x:c>
      <x:c r="K50" s="67" t="s">
        <x:v>27</x:v>
      </x:c>
      <x:c r="L50" s="67" t="s">
        <x:v>27</x:v>
      </x:c>
      <x:c r="M50" s="67" t="s">
        <x:v>27</x:v>
      </x:c>
      <x:c r="N50" s="67" t="s">
        <x:v>27</x:v>
      </x:c>
      <x:c r="O50" s="67" t="s">
        <x:v>27</x:v>
      </x:c>
      <x:c r="P50" s="67" t="s">
        <x:v>27</x:v>
      </x:c>
      <x:c r="Q50" s="68" t="s">
        <x:v>27</x:v>
      </x:c>
    </x:row>
    <x:row r="51">
      <x:c r="B51" s="18" t="str">
        <x:f>'_Chart Helpers'!$A$8</x:f>
        <x:v>Bounce Rate</x:v>
      </x:c>
      <x:c r="C51" s="19" t="str">
        <x:f>'_Chart Helpers'!$E$8</x:f>
        <x:v>Lower</x:v>
      </x:c>
      <x:c r="D51" s="21" t="n">
        <x:f>'_Chart Helpers'!$B$8</x:f>
        <x:v>0.34</x:v>
      </x:c>
      <x:c r="E51" s="21" t="n">
        <x:f>'_Chart Helpers'!$C$8</x:f>
        <x:v>0.36</x:v>
      </x:c>
      <x:c r="F51" s="21">
        <x:f t="shared" si="0"/>
        <x:v>-1.9999999999999962E-2</x:v>
      </x:c>
      <x:c r="G51" s="21">
        <x:f t="shared" si="1"/>
        <x:v>-5.5555555555555469E-2</x:v>
      </x:c>
      <x:c r="H51" s="19" t="str">
        <x:f>'_Chart Helpers'!$F$8</x:f>
        <x:v>Favorable</x:v>
      </x:c>
      <x:c r="I51" s="12"/>
      <x:c r="J51" s="69" t="s">
        <x:v>27</x:v>
      </x:c>
      <x:c r="K51" s="70" t="s">
        <x:v>27</x:v>
      </x:c>
      <x:c r="L51" s="70" t="s">
        <x:v>27</x:v>
      </x:c>
      <x:c r="M51" s="70" t="s">
        <x:v>27</x:v>
      </x:c>
      <x:c r="N51" s="70" t="s">
        <x:v>27</x:v>
      </x:c>
      <x:c r="O51" s="70" t="s">
        <x:v>27</x:v>
      </x:c>
      <x:c r="P51" s="70" t="s">
        <x:v>27</x:v>
      </x:c>
      <x:c r="Q51" s="71" t="s">
        <x:v>27</x:v>
      </x:c>
    </x:row>
    <x:row r="52">
      <x:c r="B52" s="18" t="str">
        <x:f>'_Chart Helpers'!$A$9</x:f>
        <x:v>MRR / Active User</x:v>
      </x:c>
      <x:c r="C52" s="19" t="str">
        <x:f>'_Chart Helpers'!$E$9</x:f>
        <x:v>Higher</x:v>
      </x:c>
      <x:c r="D52" s="24" t="n">
        <x:f>'_Chart Helpers'!$B$9</x:f>
        <x:v>12.815873015873017</x:v>
      </x:c>
      <x:c r="E52" s="24" t="n">
        <x:f>'_Chart Helpers'!$C$9</x:f>
        <x:v>13.333333333333334</x:v>
      </x:c>
      <x:c r="F52" s="24">
        <x:f t="shared" si="0"/>
        <x:v>-0.5174603174603174</x:v>
      </x:c>
      <x:c r="G52" s="21">
        <x:f t="shared" si="1"/>
        <x:v>-3.8809523809523849E-2</x:v>
      </x:c>
      <x:c r="H52" s="19" t="str">
        <x:f>'_Chart Helpers'!$F$9</x:f>
        <x:v>Watch</x:v>
      </x:c>
      <x:c r="I52" s="12"/>
      <x:c r="J52" s="72" t="s">
        <x:v>27</x:v>
      </x:c>
      <x:c r="K52" s="73" t="s">
        <x:v>27</x:v>
      </x:c>
      <x:c r="L52" s="73" t="s">
        <x:v>27</x:v>
      </x:c>
      <x:c r="M52" s="73" t="s">
        <x:v>27</x:v>
      </x:c>
      <x:c r="N52" s="73" t="s">
        <x:v>27</x:v>
      </x:c>
      <x:c r="O52" s="73" t="s">
        <x:v>27</x:v>
      </x:c>
      <x:c r="P52" s="73" t="s">
        <x:v>27</x:v>
      </x:c>
      <x:c r="Q52" s="74" t="s">
        <x:v>27</x:v>
      </x:c>
    </x:row>
    <x:row r="53"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</x:row>
  </x:sheetData>
  <x:mergeCells>
    <x:mergeCell ref="J11:M12"/>
    <x:mergeCell ref="N5:Q5"/>
    <x:mergeCell ref="N6:Q7"/>
    <x:mergeCell ref="B43:Q43"/>
    <x:mergeCell ref="J45:Q48"/>
    <x:mergeCell ref="J50:Q52"/>
    <x:mergeCell ref="N10:Q10"/>
    <x:mergeCell ref="N11:Q12"/>
    <x:mergeCell ref="B15:I15"/>
    <x:mergeCell ref="J15:Q15"/>
    <x:mergeCell ref="B29:I29"/>
    <x:mergeCell ref="J29:Q29"/>
    <x:mergeCell ref="B10:E10"/>
    <x:mergeCell ref="B11:E12"/>
    <x:mergeCell ref="F10:I10"/>
    <x:mergeCell ref="F11:I12"/>
    <x:mergeCell ref="J10:M10"/>
    <x:mergeCell ref="B5:E5"/>
    <x:mergeCell ref="B6:E7"/>
    <x:mergeCell ref="F5:I5"/>
    <x:mergeCell ref="F6:I7"/>
    <x:mergeCell ref="J5:M5"/>
    <x:mergeCell ref="J6:M7"/>
    <x:mergeCell ref="J2:M2"/>
    <x:mergeCell ref="J3:M3"/>
    <x:mergeCell ref="N2:Q2"/>
    <x:mergeCell ref="N3:Q3"/>
    <x:mergeCell ref="B4:Q4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  <x:drawing xmlns:r="http://schemas.openxmlformats.org/officeDocument/2006/relationships" r:id="R54ac45e3816e42f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4" width="15" style="27" customWidth="1"/>
    <x:col min="5" max="5" width="17" style="27" customWidth="1"/>
    <x:col min="6" max="6" width="18" style="27" customWidth="1"/>
    <x:col min="7" max="8" width="15" style="27" customWidth="1"/>
    <x:col min="9" max="9" width="14" style="27" customWidth="1"/>
    <x:col min="10" max="10" width="16" style="27" customWidth="1"/>
    <x:col min="11" max="11" width="15" style="27" customWidth="1"/>
    <x:col min="12" max="15" width="16" style="27" customWidth="1"/>
    <x:col min="16" max="16" width="15" style="27" customWidth="1"/>
    <x:col min="17" max="16384" width="8.83203125" style="27" customWidth="0"/>
  </x:cols>
  <x:sheetData>
    <x:row r="2" ht="26" customHeight="1">
      <x:c r="B2" s="36" t="s">
        <x:v>0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</x:row>
    <x:row r="3" ht="26" customHeight="1">
      <x:c r="B3" s="38" t="s">
        <x:v>28</x:v>
      </x:c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</x:row>
    <x:row r="4"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 ht="22" customHeight="1">
      <x:c r="B5" s="87" t="s">
        <x:v>29</x:v>
      </x:c>
      <x:c r="C5" s="87" t="s">
        <x:v>29</x:v>
      </x:c>
      <x:c r="D5" s="87" t="s">
        <x:v>29</x:v>
      </x:c>
      <x:c r="E5" s="87" t="s">
        <x:v>29</x:v>
      </x:c>
      <x:c r="F5" s="87" t="s">
        <x:v>29</x:v>
      </x:c>
      <x:c r="G5" s="87" t="s">
        <x:v>29</x:v>
      </x:c>
      <x:c r="H5" s="87" t="s">
        <x:v>29</x:v>
      </x:c>
      <x:c r="I5" s="87" t="s">
        <x:v>29</x:v>
      </x:c>
      <x:c r="J5" s="87" t="s">
        <x:v>29</x:v>
      </x:c>
      <x:c r="K5" s="87" t="s">
        <x:v>29</x:v>
      </x:c>
      <x:c r="L5" s="87" t="s">
        <x:v>29</x:v>
      </x:c>
      <x:c r="M5" s="87" t="s">
        <x:v>29</x:v>
      </x:c>
      <x:c r="N5" s="87" t="s">
        <x:v>29</x:v>
      </x:c>
      <x:c r="O5" s="87" t="s">
        <x:v>29</x:v>
      </x:c>
      <x:c r="P5" s="87" t="s">
        <x:v>29</x:v>
      </x:c>
    </x:row>
    <x:row r="6" ht="22" customHeight="1">
      <x:c r="B6" s="88" t="s">
        <x:v>30</x:v>
      </x:c>
      <x:c r="C6" s="88" t="s">
        <x:v>30</x:v>
      </x:c>
      <x:c r="D6" s="88" t="s">
        <x:v>30</x:v>
      </x:c>
      <x:c r="E6" s="88" t="s">
        <x:v>30</x:v>
      </x:c>
      <x:c r="F6" s="88" t="s">
        <x:v>30</x:v>
      </x:c>
      <x:c r="G6" s="88" t="s">
        <x:v>30</x:v>
      </x:c>
      <x:c r="H6" s="88" t="s">
        <x:v>30</x:v>
      </x:c>
      <x:c r="I6" s="88" t="s">
        <x:v>30</x:v>
      </x:c>
      <x:c r="J6" s="88" t="s">
        <x:v>30</x:v>
      </x:c>
      <x:c r="K6" s="88" t="s">
        <x:v>30</x:v>
      </x:c>
      <x:c r="L6" s="88" t="s">
        <x:v>30</x:v>
      </x:c>
      <x:c r="M6" s="88" t="s">
        <x:v>30</x:v>
      </x:c>
      <x:c r="N6" s="88" t="s">
        <x:v>30</x:v>
      </x:c>
      <x:c r="O6" s="88" t="s">
        <x:v>30</x:v>
      </x:c>
      <x:c r="P6" s="88" t="s">
        <x:v>30</x:v>
      </x:c>
    </x:row>
    <x:row r="7" ht="22" customHeight="1">
      <x:c r="B7" s="88" t="s">
        <x:v>31</x:v>
      </x:c>
      <x:c r="C7" s="88" t="s">
        <x:v>31</x:v>
      </x:c>
      <x:c r="D7" s="88" t="s">
        <x:v>31</x:v>
      </x:c>
      <x:c r="E7" s="88" t="s">
        <x:v>31</x:v>
      </x:c>
      <x:c r="F7" s="88" t="s">
        <x:v>31</x:v>
      </x:c>
      <x:c r="G7" s="88" t="s">
        <x:v>31</x:v>
      </x:c>
      <x:c r="H7" s="88" t="s">
        <x:v>31</x:v>
      </x:c>
      <x:c r="I7" s="88" t="s">
        <x:v>31</x:v>
      </x:c>
      <x:c r="J7" s="88" t="s">
        <x:v>31</x:v>
      </x:c>
      <x:c r="K7" s="88" t="s">
        <x:v>31</x:v>
      </x:c>
      <x:c r="L7" s="88" t="s">
        <x:v>31</x:v>
      </x:c>
      <x:c r="M7" s="88" t="s">
        <x:v>31</x:v>
      </x:c>
      <x:c r="N7" s="88" t="s">
        <x:v>31</x:v>
      </x:c>
      <x:c r="O7" s="88" t="s">
        <x:v>31</x:v>
      </x:c>
      <x:c r="P7" s="88" t="s">
        <x:v>31</x:v>
      </x:c>
    </x:row>
    <x:row r="8"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B9" s="1" t="s">
        <x:v>32</x:v>
      </x:c>
      <x:c r="C9" s="29">
        <x:v>45992</x:v>
      </x:c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 ht="26">
      <x:c r="B10" s="1" t="s">
        <x:v>33</x:v>
      </x:c>
      <x:c r="C10" s="25" t="n">
        <x:f>MAX($B$16:$B$27)</x:f>
        <x:v>45992</x:v>
      </x:c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B11" s="1" t="s">
        <x:v>34</x:v>
      </x:c>
      <x:c r="C11" s="84" t="s">
        <x:v>35</x:v>
      </x:c>
      <x:c r="D11" s="84" t="s">
        <x:v>35</x:v>
      </x:c>
      <x:c r="E11" s="84" t="s">
        <x:v>35</x:v>
      </x:c>
      <x:c r="F11" s="84" t="s">
        <x:v>35</x:v>
      </x:c>
      <x:c r="G11" s="84" t="s">
        <x:v>35</x:v>
      </x:c>
      <x:c r="H11" s="84" t="s">
        <x:v>35</x:v>
      </x:c>
      <x:c r="I11" s="84" t="s">
        <x:v>35</x:v>
      </x:c>
      <x:c r="J11" s="84" t="s">
        <x:v>35</x:v>
      </x:c>
      <x:c r="K11" s="84" t="s">
        <x:v>35</x:v>
      </x:c>
      <x:c r="L11" s="84" t="s">
        <x:v>35</x:v>
      </x:c>
      <x:c r="M11" s="84" t="s">
        <x:v>35</x:v>
      </x:c>
      <x:c r="N11" s="84" t="s">
        <x:v>35</x:v>
      </x:c>
      <x:c r="O11" s="84" t="s">
        <x:v>35</x:v>
      </x:c>
      <x:c r="P11" s="84" t="s">
        <x:v>35</x:v>
      </x:c>
    </x:row>
    <x:row r="12"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 ht="22" customHeight="1">
      <x:c r="B13" s="85" t="s">
        <x:v>36</x:v>
      </x:c>
      <x:c r="C13" s="85" t="s">
        <x:v>36</x:v>
      </x:c>
      <x:c r="D13" s="85" t="s">
        <x:v>36</x:v>
      </x:c>
      <x:c r="E13" s="85" t="s">
        <x:v>36</x:v>
      </x:c>
      <x:c r="F13" s="85" t="s">
        <x:v>36</x:v>
      </x:c>
      <x:c r="G13" s="85" t="s">
        <x:v>36</x:v>
      </x:c>
      <x:c r="H13" s="85" t="s">
        <x:v>36</x:v>
      </x:c>
      <x:c r="I13" s="85" t="s">
        <x:v>36</x:v>
      </x:c>
      <x:c r="J13" s="85" t="s">
        <x:v>36</x:v>
      </x:c>
      <x:c r="K13" s="85" t="s">
        <x:v>36</x:v>
      </x:c>
      <x:c r="L13" s="85" t="s">
        <x:v>36</x:v>
      </x:c>
      <x:c r="M13" s="85" t="s">
        <x:v>36</x:v>
      </x:c>
      <x:c r="N13" s="85" t="s">
        <x:v>36</x:v>
      </x:c>
      <x:c r="O13" s="85" t="s">
        <x:v>36</x:v>
      </x:c>
      <x:c r="P13" s="85" t="s">
        <x:v>36</x:v>
      </x:c>
    </x:row>
    <x:row r="14"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 ht="34" customHeight="1">
      <x:c r="B15" s="2" t="s">
        <x:v>37</x:v>
      </x:c>
      <x:c r="C15" s="2" t="s">
        <x:v>38</x:v>
      </x:c>
      <x:c r="D15" s="2" t="s">
        <x:v>39</x:v>
      </x:c>
      <x:c r="E15" s="2" t="s">
        <x:v>40</x:v>
      </x:c>
      <x:c r="F15" s="2" t="s">
        <x:v>41</x:v>
      </x:c>
      <x:c r="G15" s="2" t="s">
        <x:v>42</x:v>
      </x:c>
      <x:c r="H15" s="2" t="s">
        <x:v>43</x:v>
      </x:c>
      <x:c r="I15" s="2" t="s">
        <x:v>44</x:v>
      </x:c>
      <x:c r="J15" s="2" t="s">
        <x:v>45</x:v>
      </x:c>
      <x:c r="K15" s="2" t="s">
        <x:v>46</x:v>
      </x:c>
      <x:c r="L15" s="2" t="s">
        <x:v>47</x:v>
      </x:c>
      <x:c r="M15" s="2" t="s">
        <x:v>48</x:v>
      </x:c>
      <x:c r="N15" s="2" t="s">
        <x:v>49</x:v>
      </x:c>
      <x:c r="O15" s="2" t="s">
        <x:v>50</x:v>
      </x:c>
      <x:c r="P15" s="2" t="s">
        <x:v>51</x:v>
      </x:c>
    </x:row>
    <x:row r="16">
      <x:c r="B16" s="30">
        <x:v>45658</x:v>
      </x:c>
      <x:c r="C16" s="31">
        <x:v>14800</x:v>
      </x:c>
      <x:c r="D16" s="31">
        <x:v>2320</x:v>
      </x:c>
      <x:c r="E16" s="32">
        <x:v>0.72399999999999998</x:v>
      </x:c>
      <x:c r="F16" s="32">
        <x:v>3.6999999999999998E-2</x:v>
      </x:c>
      <x:c r="G16" s="33">
        <x:v>4.5</x:v>
      </x:c>
      <x:c r="H16" s="34">
        <x:v>184000</x:v>
      </x:c>
      <x:c r="I16" s="32">
        <x:v>0.48</x:v>
      </x:c>
      <x:c r="J16" s="31">
        <x:v>15000</x:v>
      </x:c>
      <x:c r="K16" s="31">
        <x:v>2250</x:v>
      </x:c>
      <x:c r="L16" s="32">
        <x:v>0.73</x:v>
      </x:c>
      <x:c r="M16" s="32">
        <x:v>3.7999999999999999E-2</x:v>
      </x:c>
      <x:c r="N16" s="33">
        <x:v>4.5999999999999996</x:v>
      </x:c>
      <x:c r="O16" s="34">
        <x:v>185000</x:v>
      </x:c>
      <x:c r="P16" s="32">
        <x:v>0.47</x:v>
      </x:c>
    </x:row>
    <x:row r="17">
      <x:c r="B17" s="30">
        <x:v>45689</x:v>
      </x:c>
      <x:c r="C17" s="31">
        <x:v>15650</x:v>
      </x:c>
      <x:c r="D17" s="31">
        <x:v>2410</x:v>
      </x:c>
      <x:c r="E17" s="32">
        <x:v>0.73099999999999998</x:v>
      </x:c>
      <x:c r="F17" s="32">
        <x:v>3.7999999999999999E-2</x:v>
      </x:c>
      <x:c r="G17" s="33">
        <x:v>4.5999999999999996</x:v>
      </x:c>
      <x:c r="H17" s="34">
        <x:v>192500</x:v>
      </x:c>
      <x:c r="I17" s="32">
        <x:v>0.46500000000000002</x:v>
      </x:c>
      <x:c r="J17" s="31">
        <x:v>16000</x:v>
      </x:c>
      <x:c r="K17" s="31">
        <x:v>2350</x:v>
      </x:c>
      <x:c r="L17" s="32">
        <x:v>0.74</x:v>
      </x:c>
      <x:c r="M17" s="32">
        <x:v>3.9E-2</x:v>
      </x:c>
      <x:c r="N17" s="33">
        <x:v>4.7</x:v>
      </x:c>
      <x:c r="O17" s="34">
        <x:v>195000</x:v>
      </x:c>
      <x:c r="P17" s="32">
        <x:v>0.46</x:v>
      </x:c>
    </x:row>
    <x:row r="18">
      <x:c r="B18" s="30">
        <x:v>45717</x:v>
      </x:c>
      <x:c r="C18" s="31">
        <x:v>16900</x:v>
      </x:c>
      <x:c r="D18" s="31">
        <x:v>2760</x:v>
      </x:c>
      <x:c r="E18" s="32">
        <x:v>0.74</x:v>
      </x:c>
      <x:c r="F18" s="32">
        <x:v>0.04</x:v>
      </x:c>
      <x:c r="G18" s="33">
        <x:v>4.8</x:v>
      </x:c>
      <x:c r="H18" s="34">
        <x:v>207800</x:v>
      </x:c>
      <x:c r="I18" s="32">
        <x:v>0.45</x:v>
      </x:c>
      <x:c r="J18" s="31">
        <x:v>17000</x:v>
      </x:c>
      <x:c r="K18" s="31">
        <x:v>2600</x:v>
      </x:c>
      <x:c r="L18" s="32">
        <x:v>0.75</x:v>
      </x:c>
      <x:c r="M18" s="32">
        <x:v>0.04</x:v>
      </x:c>
      <x:c r="N18" s="33">
        <x:v>4.8</x:v>
      </x:c>
      <x:c r="O18" s="34">
        <x:v>205000</x:v>
      </x:c>
      <x:c r="P18" s="32">
        <x:v>0.45</x:v>
      </x:c>
    </x:row>
    <x:row r="19">
      <x:c r="B19" s="30">
        <x:v>45748</x:v>
      </x:c>
      <x:c r="C19" s="31">
        <x:v>18250</x:v>
      </x:c>
      <x:c r="D19" s="31">
        <x:v>2980</x:v>
      </x:c>
      <x:c r="E19" s="32">
        <x:v>0.748</x:v>
      </x:c>
      <x:c r="F19" s="32">
        <x:v>4.1000000000000002E-2</x:v>
      </x:c>
      <x:c r="G19" s="33">
        <x:v>5</x:v>
      </x:c>
      <x:c r="H19" s="34">
        <x:v>224400</x:v>
      </x:c>
      <x:c r="I19" s="32">
        <x:v>0.44</x:v>
      </x:c>
      <x:c r="J19" s="31">
        <x:v>18500</x:v>
      </x:c>
      <x:c r="K19" s="31">
        <x:v>2900</x:v>
      </x:c>
      <x:c r="L19" s="32">
        <x:v>0.75</x:v>
      </x:c>
      <x:c r="M19" s="32">
        <x:v>4.2000000000000003E-2</x:v>
      </x:c>
      <x:c r="N19" s="33">
        <x:v>5</x:v>
      </x:c>
      <x:c r="O19" s="34">
        <x:v>230000</x:v>
      </x:c>
      <x:c r="P19" s="32">
        <x:v>0.44</x:v>
      </x:c>
    </x:row>
    <x:row r="20">
      <x:c r="B20" s="30">
        <x:v>45778</x:v>
      </x:c>
      <x:c r="C20" s="31">
        <x:v>19700</x:v>
      </x:c>
      <x:c r="D20" s="31">
        <x:v>3120</x:v>
      </x:c>
      <x:c r="E20" s="32">
        <x:v>0.75600000000000001</x:v>
      </x:c>
      <x:c r="F20" s="32">
        <x:v>4.2999999999999997E-2</x:v>
      </x:c>
      <x:c r="G20" s="33">
        <x:v>5.0999999999999996</x:v>
      </x:c>
      <x:c r="H20" s="34">
        <x:v>241600</x:v>
      </x:c>
      <x:c r="I20" s="32">
        <x:v>0.42499999999999999</x:v>
      </x:c>
      <x:c r="J20" s="31">
        <x:v>20000</x:v>
      </x:c>
      <x:c r="K20" s="31">
        <x:v>3050</x:v>
      </x:c>
      <x:c r="L20" s="32">
        <x:v>0.76</x:v>
      </x:c>
      <x:c r="M20" s="32">
        <x:v>4.2999999999999997E-2</x:v>
      </x:c>
      <x:c r="N20" s="33">
        <x:v>5.0999999999999996</x:v>
      </x:c>
      <x:c r="O20" s="34">
        <x:v>245000</x:v>
      </x:c>
      <x:c r="P20" s="32">
        <x:v>0.43</x:v>
      </x:c>
    </x:row>
    <x:row r="21">
      <x:c r="B21" s="30">
        <x:v>45809</x:v>
      </x:c>
      <x:c r="C21" s="31">
        <x:v>21050</x:v>
      </x:c>
      <x:c r="D21" s="31">
        <x:v>3280</x:v>
      </x:c>
      <x:c r="E21" s="32">
        <x:v>0.76200000000000001</x:v>
      </x:c>
      <x:c r="F21" s="32">
        <x:v>4.3999999999999997E-2</x:v>
      </x:c>
      <x:c r="G21" s="33">
        <x:v>5.2</x:v>
      </x:c>
      <x:c r="H21" s="34">
        <x:v>258900</x:v>
      </x:c>
      <x:c r="I21" s="32">
        <x:v>0.41</x:v>
      </x:c>
      <x:c r="J21" s="31">
        <x:v>21500</x:v>
      </x:c>
      <x:c r="K21" s="31">
        <x:v>3250</x:v>
      </x:c>
      <x:c r="L21" s="32">
        <x:v>0.77</x:v>
      </x:c>
      <x:c r="M21" s="32">
        <x:v>4.4999999999999998E-2</x:v>
      </x:c>
      <x:c r="N21" s="33">
        <x:v>5.3</x:v>
      </x:c>
      <x:c r="O21" s="34">
        <x:v>262000</x:v>
      </x:c>
      <x:c r="P21" s="32">
        <x:v>0.42</x:v>
      </x:c>
    </x:row>
    <x:row r="22">
      <x:c r="B22" s="30">
        <x:v>45839</x:v>
      </x:c>
      <x:c r="C22" s="31">
        <x:v>22800</x:v>
      </x:c>
      <x:c r="D22" s="31">
        <x:v>3520</x:v>
      </x:c>
      <x:c r="E22" s="32">
        <x:v>0.77400000000000002</x:v>
      </x:c>
      <x:c r="F22" s="32">
        <x:v>4.5999999999999999E-2</x:v>
      </x:c>
      <x:c r="G22" s="33">
        <x:v>5.4</x:v>
      </x:c>
      <x:c r="H22" s="34">
        <x:v>281300</x:v>
      </x:c>
      <x:c r="I22" s="32">
        <x:v>0.39500000000000002</x:v>
      </x:c>
      <x:c r="J22" s="31">
        <x:v>23000</x:v>
      </x:c>
      <x:c r="K22" s="31">
        <x:v>3450</x:v>
      </x:c>
      <x:c r="L22" s="32">
        <x:v>0.78</x:v>
      </x:c>
      <x:c r="M22" s="32">
        <x:v>4.5999999999999999E-2</x:v>
      </x:c>
      <x:c r="N22" s="33">
        <x:v>5.4</x:v>
      </x:c>
      <x:c r="O22" s="34">
        <x:v>285000</x:v>
      </x:c>
      <x:c r="P22" s="32">
        <x:v>0.41</x:v>
      </x:c>
    </x:row>
    <x:row r="23">
      <x:c r="B23" s="30">
        <x:v>45870</x:v>
      </x:c>
      <x:c r="C23" s="31">
        <x:v>24400</x:v>
      </x:c>
      <x:c r="D23" s="31">
        <x:v>3680</x:v>
      </x:c>
      <x:c r="E23" s="32">
        <x:v>0.78100000000000003</x:v>
      </x:c>
      <x:c r="F23" s="32">
        <x:v>4.7E-2</x:v>
      </x:c>
      <x:c r="G23" s="33">
        <x:v>5.5</x:v>
      </x:c>
      <x:c r="H23" s="34">
        <x:v>303200</x:v>
      </x:c>
      <x:c r="I23" s="32">
        <x:v>0.38</x:v>
      </x:c>
      <x:c r="J23" s="31">
        <x:v>24500</x:v>
      </x:c>
      <x:c r="K23" s="31">
        <x:v>3650</x:v>
      </x:c>
      <x:c r="L23" s="32">
        <x:v>0.78</x:v>
      </x:c>
      <x:c r="M23" s="32">
        <x:v>4.8000000000000001E-2</x:v>
      </x:c>
      <x:c r="N23" s="33">
        <x:v>5.6</x:v>
      </x:c>
      <x:c r="O23" s="34">
        <x:v>300000</x:v>
      </x:c>
      <x:c r="P23" s="32">
        <x:v>0.4</x:v>
      </x:c>
    </x:row>
    <x:row r="24">
      <x:c r="B24" s="30">
        <x:v>45901</x:v>
      </x:c>
      <x:c r="C24" s="31">
        <x:v>26150</x:v>
      </x:c>
      <x:c r="D24" s="31">
        <x:v>3860</x:v>
      </x:c>
      <x:c r="E24" s="32">
        <x:v>0.78900000000000003</x:v>
      </x:c>
      <x:c r="F24" s="32">
        <x:v>4.9000000000000002E-2</x:v>
      </x:c>
      <x:c r="G24" s="33">
        <x:v>5.7</x:v>
      </x:c>
      <x:c r="H24" s="34">
        <x:v>328500</x:v>
      </x:c>
      <x:c r="I24" s="32">
        <x:v>0.37</x:v>
      </x:c>
      <x:c r="J24" s="31">
        <x:v>26000</x:v>
      </x:c>
      <x:c r="K24" s="31">
        <x:v>3850</x:v>
      </x:c>
      <x:c r="L24" s="32">
        <x:v>0.79</x:v>
      </x:c>
      <x:c r="M24" s="32">
        <x:v>4.9000000000000002E-2</x:v>
      </x:c>
      <x:c r="N24" s="33">
        <x:v>5.7</x:v>
      </x:c>
      <x:c r="O24" s="34">
        <x:v>330000</x:v>
      </x:c>
      <x:c r="P24" s="32">
        <x:v>0.39</x:v>
      </x:c>
    </x:row>
    <x:row r="25">
      <x:c r="B25" s="30">
        <x:v>45931</x:v>
      </x:c>
      <x:c r="C25" s="31">
        <x:v>27900</x:v>
      </x:c>
      <x:c r="D25" s="31">
        <x:v>4050</x:v>
      </x:c>
      <x:c r="E25" s="32">
        <x:v>0.79600000000000004</x:v>
      </x:c>
      <x:c r="F25" s="32">
        <x:v>5.0999999999999997E-2</x:v>
      </x:c>
      <x:c r="G25" s="33">
        <x:v>5.8</x:v>
      </x:c>
      <x:c r="H25" s="34">
        <x:v>351800</x:v>
      </x:c>
      <x:c r="I25" s="32">
        <x:v>0.36</x:v>
      </x:c>
      <x:c r="J25" s="31">
        <x:v>28000</x:v>
      </x:c>
      <x:c r="K25" s="31">
        <x:v>4050</x:v>
      </x:c>
      <x:c r="L25" s="32">
        <x:v>0.8</x:v>
      </x:c>
      <x:c r="M25" s="32">
        <x:v>5.0999999999999997E-2</x:v>
      </x:c>
      <x:c r="N25" s="33">
        <x:v>5.9</x:v>
      </x:c>
      <x:c r="O25" s="34">
        <x:v>355000</x:v>
      </x:c>
      <x:c r="P25" s="32">
        <x:v>0.38</x:v>
      </x:c>
    </x:row>
    <x:row r="26">
      <x:c r="B26" s="30">
        <x:v>45962</x:v>
      </x:c>
      <x:c r="C26" s="31">
        <x:v>29650</x:v>
      </x:c>
      <x:c r="D26" s="31">
        <x:v>4240</x:v>
      </x:c>
      <x:c r="E26" s="32">
        <x:v>0.80300000000000005</x:v>
      </x:c>
      <x:c r="F26" s="32">
        <x:v>5.1999999999999998E-2</x:v>
      </x:c>
      <x:c r="G26" s="33">
        <x:v>6</x:v>
      </x:c>
      <x:c r="H26" s="34">
        <x:v>376400</x:v>
      </x:c>
      <x:c r="I26" s="32">
        <x:v>0.35</x:v>
      </x:c>
      <x:c r="J26" s="31">
        <x:v>29500</x:v>
      </x:c>
      <x:c r="K26" s="31">
        <x:v>4250</x:v>
      </x:c>
      <x:c r="L26" s="32">
        <x:v>0.8</x:v>
      </x:c>
      <x:c r="M26" s="32">
        <x:v>5.1999999999999998E-2</x:v>
      </x:c>
      <x:c r="N26" s="33">
        <x:v>6</x:v>
      </x:c>
      <x:c r="O26" s="34">
        <x:v>380000</x:v>
      </x:c>
      <x:c r="P26" s="32">
        <x:v>0.37</x:v>
      </x:c>
    </x:row>
    <x:row r="27">
      <x:c r="B27" s="30">
        <x:v>45992</x:v>
      </x:c>
      <x:c r="C27" s="31">
        <x:v>31500</x:v>
      </x:c>
      <x:c r="D27" s="31">
        <x:v>4480</x:v>
      </x:c>
      <x:c r="E27" s="32">
        <x:v>0.81100000000000005</x:v>
      </x:c>
      <x:c r="F27" s="32">
        <x:v>5.3999999999999999E-2</x:v>
      </x:c>
      <x:c r="G27" s="33">
        <x:v>6.2</x:v>
      </x:c>
      <x:c r="H27" s="34">
        <x:v>403700</x:v>
      </x:c>
      <x:c r="I27" s="32">
        <x:v>0.34</x:v>
      </x:c>
      <x:c r="J27" s="31">
        <x:v>30000</x:v>
      </x:c>
      <x:c r="K27" s="31">
        <x:v>4400</x:v>
      </x:c>
      <x:c r="L27" s="32">
        <x:v>0.8</x:v>
      </x:c>
      <x:c r="M27" s="32">
        <x:v>0.05</x:v>
      </x:c>
      <x:c r="N27" s="33">
        <x:v>6</x:v>
      </x:c>
      <x:c r="O27" s="34">
        <x:v>400000</x:v>
      </x:c>
      <x:c r="P27" s="32">
        <x:v>0.36</x:v>
      </x:c>
    </x:row>
    <x:row r="28"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 ht="22" customHeight="1">
      <x:c r="B29" s="86" t="s">
        <x:v>52</x:v>
      </x:c>
      <x:c r="C29" s="86" t="s">
        <x:v>52</x:v>
      </x:c>
      <x:c r="D29" s="86" t="s">
        <x:v>52</x:v>
      </x:c>
      <x:c r="E29" s="86" t="s">
        <x:v>52</x:v>
      </x:c>
      <x:c r="F29" s="28"/>
      <x:c r="G29" s="86" t="s">
        <x:v>53</x:v>
      </x:c>
      <x:c r="H29" s="86" t="s">
        <x:v>53</x:v>
      </x:c>
      <x:c r="I29" s="86" t="s">
        <x:v>53</x:v>
      </x:c>
      <x:c r="J29" s="86" t="s">
        <x:v>53</x:v>
      </x:c>
      <x:c r="K29" s="28"/>
      <x:c r="L29" s="28"/>
      <x:c r="M29" s="28"/>
      <x:c r="N29" s="28"/>
      <x:c r="O29" s="28"/>
      <x:c r="P29" s="28"/>
    </x:row>
    <x:row r="30">
      <x:c r="B30" s="3" t="s">
        <x:v>54</x:v>
      </x:c>
      <x:c r="C30" s="3" t="s">
        <x:v>55</x:v>
      </x:c>
      <x:c r="D30" s="28"/>
      <x:c r="E30" s="28"/>
      <x:c r="F30" s="28"/>
      <x:c r="G30" s="3" t="s">
        <x:v>56</x:v>
      </x:c>
      <x:c r="H30" s="3" t="s">
        <x:v>57</x:v>
      </x:c>
      <x:c r="I30" s="28"/>
      <x:c r="J30" s="28"/>
      <x:c r="K30" s="28"/>
      <x:c r="L30" s="28"/>
      <x:c r="M30" s="28"/>
      <x:c r="N30" s="28"/>
      <x:c r="O30" s="28"/>
      <x:c r="P30" s="28"/>
    </x:row>
    <x:row r="31">
      <x:c r="B31" s="4" t="s">
        <x:v>58</x:v>
      </x:c>
      <x:c r="C31" s="35">
        <x:v>5.8</x:v>
      </x:c>
      <x:c r="D31" s="28"/>
      <x:c r="E31" s="28"/>
      <x:c r="F31" s="28"/>
      <x:c r="G31" s="4" t="s">
        <x:v>59</x:v>
      </x:c>
      <x:c r="H31" s="32">
        <x:v>0.45</x:v>
      </x:c>
      <x:c r="I31" s="28"/>
      <x:c r="J31" s="28"/>
      <x:c r="K31" s="28"/>
      <x:c r="L31" s="28"/>
      <x:c r="M31" s="28"/>
      <x:c r="N31" s="28"/>
      <x:c r="O31" s="28"/>
      <x:c r="P31" s="28"/>
    </x:row>
    <x:row r="32">
      <x:c r="B32" s="4" t="s">
        <x:v>60</x:v>
      </x:c>
      <x:c r="C32" s="32">
        <x:v>0.125</x:v>
      </x:c>
      <x:c r="D32" s="28"/>
      <x:c r="E32" s="28"/>
      <x:c r="F32" s="28"/>
      <x:c r="G32" s="4" t="s">
        <x:v>61</x:v>
      </x:c>
      <x:c r="H32" s="32">
        <x:v>0.3</x:v>
      </x:c>
      <x:c r="I32" s="28"/>
      <x:c r="J32" s="28"/>
      <x:c r="K32" s="28"/>
      <x:c r="L32" s="28"/>
      <x:c r="M32" s="28"/>
      <x:c r="N32" s="28"/>
      <x:c r="O32" s="28"/>
      <x:c r="P32" s="28"/>
    </x:row>
    <x:row r="33">
      <x:c r="B33" s="4" t="s">
        <x:v>62</x:v>
      </x:c>
      <x:c r="C33" s="32">
        <x:v>0.70599999999999996</x:v>
      </x:c>
      <x:c r="D33" s="28"/>
      <x:c r="E33" s="28"/>
      <x:c r="F33" s="28"/>
      <x:c r="G33" s="4" t="s">
        <x:v>63</x:v>
      </x:c>
      <x:c r="H33" s="32">
        <x:v>0.15</x:v>
      </x:c>
      <x:c r="I33" s="28"/>
      <x:c r="J33" s="28"/>
      <x:c r="K33" s="28"/>
      <x:c r="L33" s="28"/>
      <x:c r="M33" s="28"/>
      <x:c r="N33" s="28"/>
      <x:c r="O33" s="28"/>
      <x:c r="P33" s="28"/>
    </x:row>
    <x:row r="34">
      <x:c r="B34" s="4" t="s">
        <x:v>64</x:v>
      </x:c>
      <x:c r="C34" s="32">
        <x:v>0.57499999999999996</x:v>
      </x:c>
      <x:c r="D34" s="28"/>
      <x:c r="E34" s="28"/>
      <x:c r="F34" s="28"/>
      <x:c r="G34" s="4" t="s">
        <x:v>65</x:v>
      </x:c>
      <x:c r="H34" s="32">
        <x:v>0.1</x:v>
      </x:c>
      <x:c r="I34" s="28"/>
      <x:c r="J34" s="28"/>
      <x:c r="K34" s="28"/>
      <x:c r="L34" s="28"/>
      <x:c r="M34" s="28"/>
      <x:c r="N34" s="28"/>
      <x:c r="O34" s="28"/>
      <x:c r="P34" s="28"/>
    </x:row>
    <x:row r="35">
      <x:c r="B35" s="4" t="s">
        <x:v>66</x:v>
      </x:c>
      <x:c r="C35" s="32">
        <x:v>9.4E-2</x:v>
      </x:c>
      <x:c r="D35" s="28"/>
      <x:c r="E35" s="28"/>
      <x:c r="F35" s="28"/>
      <x:c r="G35" s="5" t="s">
        <x:v>67</x:v>
      </x:c>
      <x:c r="H35" s="26" t="str">
        <x:f>IF(ABS(SUM($H$31:$H$34)-1)&lt;0.0001,"PASS","CHECK")</x:f>
        <x:v>PASS</x:v>
      </x:c>
      <x:c r="I35" s="28"/>
      <x:c r="J35" s="28"/>
      <x:c r="K35" s="28"/>
      <x:c r="L35" s="28"/>
      <x:c r="M35" s="28"/>
      <x:c r="N35" s="28"/>
      <x:c r="O35" s="28"/>
      <x:c r="P35" s="28"/>
    </x:row>
  </x:sheetData>
  <x:mergeCells>
    <x:mergeCell ref="C11:P11"/>
    <x:mergeCell ref="B13:P13"/>
    <x:mergeCell ref="B29:E29"/>
    <x:mergeCell ref="G29:J29"/>
    <x:mergeCell ref="B5:P5"/>
    <x:mergeCell ref="B6:P6"/>
    <x:mergeCell ref="B7:P7"/>
  </x:mergeCells>
  <x:dataValidations count="1">
    <x:dataValidation type="list" sqref="C9">
      <x:formula1>$B$16:$B$27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7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</x:cols>
  <x:sheetData>
    <x:row r="1">
      <x:c r="A1" s="3" t="str">
        <x:f>"Metric"</x:f>
        <x:v>Metric</x:v>
      </x:c>
      <x:c r="B1" s="3" t="str">
        <x:f>"Actual"</x:f>
        <x:v>Actual</x:v>
      </x:c>
      <x:c r="C1" s="3" t="str">
        <x:f>"Target"</x:f>
        <x:v>Target</x:v>
      </x:c>
      <x:c r="D1" s="3" t="str">
        <x:f>"Prior"</x:f>
        <x:v>Prior</x:v>
      </x:c>
      <x:c r="E1" s="3" t="str">
        <x:f>"Direction"</x:f>
        <x:v>Direction</x:v>
      </x:c>
      <x:c r="F1" s="3" t="str">
        <x:f>"Status"</x:f>
        <x:v>Status</x:v>
      </x:c>
      <x:c r="G1" s="4"/>
      <x:c r="H1" s="3" t="str">
        <x:f>"Period"</x:f>
        <x:v>Period</x:v>
      </x:c>
      <x:c r="I1" s="3" t="str">
        <x:f>"Active Users"</x:f>
        <x:v>Active Users</x:v>
      </x:c>
      <x:c r="J1" s="3" t="str">
        <x:f>"Target"</x:f>
        <x:v>Target</x:v>
      </x:c>
      <x:c r="K1" s="4"/>
      <x:c r="L1" s="3" t="str">
        <x:f>"Period"</x:f>
        <x:v>Period</x:v>
      </x:c>
      <x:c r="M1" s="3" t="str">
        <x:f>"MRR"</x:f>
        <x:v>MRR</x:v>
      </x:c>
      <x:c r="N1" s="3" t="str">
        <x:f>"Target"</x:f>
        <x:v>Target</x:v>
      </x:c>
      <x:c r="O1" s="4"/>
      <x:c r="P1" s="3" t="str">
        <x:f>"Stage"</x:f>
        <x:v>Stage</x:v>
      </x:c>
      <x:c r="Q1" s="3" t="str">
        <x:f>"Users"</x:f>
        <x:v>Users</x:v>
      </x:c>
      <x:c r="R1" s="4"/>
      <x:c r="S1" s="3" t="str">
        <x:f>"Segment"</x:f>
        <x:v>Segment</x:v>
      </x:c>
      <x:c r="T1" s="3" t="str">
        <x:f>"MRR"</x:f>
        <x:v>MRR</x:v>
      </x:c>
    </x:row>
    <x:row r="2">
      <x:c r="A2" s="4" t="str">
        <x:f>"Active Users"</x:f>
        <x:v>Active Users</x:v>
      </x:c>
      <x:c r="B2" s="6" t="n">
        <x:f>INDEX('Data &amp; Targets'!$C$16:$C$27,MATCH('Data &amp; Targets'!$C$9,'Data &amp; Targets'!$B$16:$B$27,0))</x:f>
        <x:v>31500</x:v>
      </x:c>
      <x:c r="C2" s="6" t="n">
        <x:f>INDEX('Data &amp; Targets'!$J$16:$J$27,MATCH('Data &amp; Targets'!$C$9,'Data &amp; Targets'!$B$16:$B$27,0))</x:f>
        <x:v>30000</x:v>
      </x:c>
      <x:c r="D2" s="6" t="n">
        <x:f>IF(MATCH('Data &amp; Targets'!$C$9,'Data &amp; Targets'!$B$16:$B$27,0)&lt;=1,"",INDEX('Data &amp; Targets'!$C$16:$C$27,MATCH('Data &amp; Targets'!$C$9,'Data &amp; Targets'!$B$16:$B$27,0)-1))</x:f>
        <x:v>29650</x:v>
      </x:c>
      <x:c r="E2" s="4" t="str">
        <x:f t="shared" ref="E2:E7" si="0">"Higher"</x:f>
        <x:v>Higher</x:v>
      </x:c>
      <x:c r="F2" s="4" t="str">
        <x:f t="shared" ref="F2:F9" si="1">IF(E2="Higher",IF(B2&gt;=C2,"Favorable",IF(B2&gt;=C2*0.95,"Watch","Unfavorable")),IF(B2&lt;=C2,"Favorable",IF(B2&lt;=C2*1.05,"Watch","Unfavorable")))</x:f>
        <x:v>Favorable</x:v>
      </x:c>
      <x:c r="G2" s="4"/>
      <x:c r="H2" s="11" t="str">
        <x:f>TEXT('Data &amp; Targets'!B16,"mmm yyyy")</x:f>
        <x:v>Jan 2025</x:v>
      </x:c>
      <x:c r="I2" s="4" t="n">
        <x:f>'Data &amp; Targets'!C16</x:f>
        <x:v>14800</x:v>
      </x:c>
      <x:c r="J2" s="4" t="n">
        <x:f>'Data &amp; Targets'!J16</x:f>
        <x:v>15000</x:v>
      </x:c>
      <x:c r="K2" s="4"/>
      <x:c r="L2" s="11" t="str">
        <x:f>TEXT('Data &amp; Targets'!B16,"mmm yyyy")</x:f>
        <x:v>Jan 2025</x:v>
      </x:c>
      <x:c r="M2" s="4" t="n">
        <x:f>'Data &amp; Targets'!H16</x:f>
        <x:v>184000</x:v>
      </x:c>
      <x:c r="N2" s="4" t="n">
        <x:f>'Data &amp; Targets'!O16</x:f>
        <x:v>185000</x:v>
      </x:c>
      <x:c r="O2" s="4"/>
      <x:c r="P2" s="4" t="str">
        <x:f>"Paid Accounts"</x:f>
        <x:v>Paid Accounts</x:v>
      </x:c>
      <x:c r="Q2" s="6" t="n">
        <x:f>$B$2*'Data &amp; Targets'!$C$31*'Data &amp; Targets'!$C$32*'Data &amp; Targets'!$C$33*'Data &amp; Targets'!$C$34*'Data &amp; Targets'!$C$35</x:f>
        <x:v>871.4630137499998</x:v>
      </x:c>
      <x:c r="R2" s="4"/>
      <x:c r="S2" s="4" t="str">
        <x:f>'Data &amp; Targets'!G34</x:f>
        <x:v>Self-Svc</x:v>
      </x:c>
      <x:c r="T2" s="9" t="n">
        <x:f>$B$7*'Data &amp; Targets'!H34</x:f>
        <x:v>40370</x:v>
      </x:c>
    </x:row>
    <x:row r="3">
      <x:c r="A3" s="4" t="str">
        <x:f>"New Users"</x:f>
        <x:v>New Users</x:v>
      </x:c>
      <x:c r="B3" s="6" t="n">
        <x:f>INDEX('Data &amp; Targets'!$D$16:$D$27,MATCH('Data &amp; Targets'!$C$9,'Data &amp; Targets'!$B$16:$B$27,0))</x:f>
        <x:v>4480</x:v>
      </x:c>
      <x:c r="C3" s="6" t="n">
        <x:f>INDEX('Data &amp; Targets'!$K$16:$K$27,MATCH('Data &amp; Targets'!$C$9,'Data &amp; Targets'!$B$16:$B$27,0))</x:f>
        <x:v>4400</x:v>
      </x:c>
      <x:c r="D3" s="6" t="n">
        <x:f>IF(MATCH('Data &amp; Targets'!$C$9,'Data &amp; Targets'!$B$16:$B$27,0)&lt;=1,"",INDEX('Data &amp; Targets'!$D$16:$D$27,MATCH('Data &amp; Targets'!$C$9,'Data &amp; Targets'!$B$16:$B$27,0)-1))</x:f>
        <x:v>4240</x:v>
      </x:c>
      <x:c r="E3" s="4" t="str">
        <x:f t="shared" si="0"/>
        <x:v>Higher</x:v>
      </x:c>
      <x:c r="F3" s="4" t="str">
        <x:f t="shared" si="1"/>
        <x:v>Favorable</x:v>
      </x:c>
      <x:c r="G3" s="4"/>
      <x:c r="H3" s="11" t="str">
        <x:f>TEXT('Data &amp; Targets'!B17,"mmm yyyy")</x:f>
        <x:v>Feb 2025</x:v>
      </x:c>
      <x:c r="I3" s="4" t="n">
        <x:f>'Data &amp; Targets'!C17</x:f>
        <x:v>15650</x:v>
      </x:c>
      <x:c r="J3" s="4" t="n">
        <x:f>'Data &amp; Targets'!J17</x:f>
        <x:v>16000</x:v>
      </x:c>
      <x:c r="K3" s="4"/>
      <x:c r="L3" s="11" t="str">
        <x:f>TEXT('Data &amp; Targets'!B17,"mmm yyyy")</x:f>
        <x:v>Feb 2025</x:v>
      </x:c>
      <x:c r="M3" s="4" t="n">
        <x:f>'Data &amp; Targets'!H17</x:f>
        <x:v>192500</x:v>
      </x:c>
      <x:c r="N3" s="4" t="n">
        <x:f>'Data &amp; Targets'!O17</x:f>
        <x:v>195000</x:v>
      </x:c>
      <x:c r="O3" s="4"/>
      <x:c r="P3" s="4" t="str">
        <x:f>"Activated Users"</x:f>
        <x:v>Activated Users</x:v>
      </x:c>
      <x:c r="Q3" s="6" t="n">
        <x:f>$B$2*'Data &amp; Targets'!$C$31*'Data &amp; Targets'!$C$32*'Data &amp; Targets'!$C$33*'Data &amp; Targets'!$C$34</x:f>
        <x:v>9270.883124999998</x:v>
      </x:c>
      <x:c r="R3" s="4"/>
      <x:c r="S3" s="4" t="str">
        <x:f>'Data &amp; Targets'!G33</x:f>
        <x:v>SMB</x:v>
      </x:c>
      <x:c r="T3" s="9" t="n">
        <x:f>$B$7*'Data &amp; Targets'!H33</x:f>
        <x:v>60555</x:v>
      </x:c>
    </x:row>
    <x:row r="4">
      <x:c r="A4" s="4" t="str">
        <x:f>"30-Day Retention"</x:f>
        <x:v>30-Day Retention</x:v>
      </x:c>
      <x:c r="B4" s="7" t="n">
        <x:f>INDEX('Data &amp; Targets'!$E$16:$E$27,MATCH('Data &amp; Targets'!$C$9,'Data &amp; Targets'!$B$16:$B$27,0))</x:f>
        <x:v>0.811</x:v>
      </x:c>
      <x:c r="C4" s="7" t="n">
        <x:f>INDEX('Data &amp; Targets'!$L$16:$L$27,MATCH('Data &amp; Targets'!$C$9,'Data &amp; Targets'!$B$16:$B$27,0))</x:f>
        <x:v>0.8</x:v>
      </x:c>
      <x:c r="D4" s="7" t="n">
        <x:f>IF(MATCH('Data &amp; Targets'!$C$9,'Data &amp; Targets'!$B$16:$B$27,0)&lt;=1,"",INDEX('Data &amp; Targets'!$E$16:$E$27,MATCH('Data &amp; Targets'!$C$9,'Data &amp; Targets'!$B$16:$B$27,0)-1))</x:f>
        <x:v>0.803</x:v>
      </x:c>
      <x:c r="E4" s="4" t="str">
        <x:f t="shared" si="0"/>
        <x:v>Higher</x:v>
      </x:c>
      <x:c r="F4" s="4" t="str">
        <x:f t="shared" si="1"/>
        <x:v>Favorable</x:v>
      </x:c>
      <x:c r="G4" s="4"/>
      <x:c r="H4" s="11" t="str">
        <x:f>TEXT('Data &amp; Targets'!B18,"mmm yyyy")</x:f>
        <x:v>Mar 2025</x:v>
      </x:c>
      <x:c r="I4" s="4" t="n">
        <x:f>'Data &amp; Targets'!C18</x:f>
        <x:v>16900</x:v>
      </x:c>
      <x:c r="J4" s="4" t="n">
        <x:f>'Data &amp; Targets'!J18</x:f>
        <x:v>17000</x:v>
      </x:c>
      <x:c r="K4" s="4"/>
      <x:c r="L4" s="11" t="str">
        <x:f>TEXT('Data &amp; Targets'!B18,"mmm yyyy")</x:f>
        <x:v>Mar 2025</x:v>
      </x:c>
      <x:c r="M4" s="4" t="n">
        <x:f>'Data &amp; Targets'!H18</x:f>
        <x:v>207800</x:v>
      </x:c>
      <x:c r="N4" s="4" t="n">
        <x:f>'Data &amp; Targets'!O18</x:f>
        <x:v>205000</x:v>
      </x:c>
      <x:c r="O4" s="4"/>
      <x:c r="P4" s="4" t="str">
        <x:f>"Signed Up"</x:f>
        <x:v>Signed Up</x:v>
      </x:c>
      <x:c r="Q4" s="6" t="n">
        <x:f>$B$2*'Data &amp; Targets'!$C$31*'Data &amp; Targets'!$C$32*'Data &amp; Targets'!$C$33</x:f>
        <x:v>16123.275</x:v>
      </x:c>
      <x:c r="R4" s="4"/>
      <x:c r="S4" s="4" t="str">
        <x:f>'Data &amp; Targets'!G32</x:f>
        <x:v>Midmarket</x:v>
      </x:c>
      <x:c r="T4" s="9" t="n">
        <x:f>$B$7*'Data &amp; Targets'!H32</x:f>
        <x:v>121110</x:v>
      </x:c>
    </x:row>
    <x:row r="5">
      <x:c r="A5" s="4" t="str">
        <x:f>"Trial-to-Paid Conversion"</x:f>
        <x:v>Trial-to-Paid Conversion</x:v>
      </x:c>
      <x:c r="B5" s="7" t="n">
        <x:f>INDEX('Data &amp; Targets'!$F$16:$F$27,MATCH('Data &amp; Targets'!$C$9,'Data &amp; Targets'!$B$16:$B$27,0))</x:f>
        <x:v>0.054</x:v>
      </x:c>
      <x:c r="C5" s="7" t="n">
        <x:f>INDEX('Data &amp; Targets'!$M$16:$M$27,MATCH('Data &amp; Targets'!$C$9,'Data &amp; Targets'!$B$16:$B$27,0))</x:f>
        <x:v>0.05</x:v>
      </x:c>
      <x:c r="D5" s="7" t="n">
        <x:f>IF(MATCH('Data &amp; Targets'!$C$9,'Data &amp; Targets'!$B$16:$B$27,0)&lt;=1,"",INDEX('Data &amp; Targets'!$F$16:$F$27,MATCH('Data &amp; Targets'!$C$9,'Data &amp; Targets'!$B$16:$B$27,0)-1))</x:f>
        <x:v>0.052</x:v>
      </x:c>
      <x:c r="E5" s="4" t="str">
        <x:f t="shared" si="0"/>
        <x:v>Higher</x:v>
      </x:c>
      <x:c r="F5" s="4" t="str">
        <x:f t="shared" si="1"/>
        <x:v>Favorable</x:v>
      </x:c>
      <x:c r="G5" s="4"/>
      <x:c r="H5" s="11" t="str">
        <x:f>TEXT('Data &amp; Targets'!B19,"mmm yyyy")</x:f>
        <x:v>Apr 2025</x:v>
      </x:c>
      <x:c r="I5" s="4" t="n">
        <x:f>'Data &amp; Targets'!C19</x:f>
        <x:v>18250</x:v>
      </x:c>
      <x:c r="J5" s="4" t="n">
        <x:f>'Data &amp; Targets'!J19</x:f>
        <x:v>18500</x:v>
      </x:c>
      <x:c r="K5" s="4"/>
      <x:c r="L5" s="11" t="str">
        <x:f>TEXT('Data &amp; Targets'!B19,"mmm yyyy")</x:f>
        <x:v>Apr 2025</x:v>
      </x:c>
      <x:c r="M5" s="4" t="n">
        <x:f>'Data &amp; Targets'!H19</x:f>
        <x:v>224400</x:v>
      </x:c>
      <x:c r="N5" s="4" t="n">
        <x:f>'Data &amp; Targets'!O19</x:f>
        <x:v>230000</x:v>
      </x:c>
      <x:c r="O5" s="4"/>
      <x:c r="P5" s="4" t="str">
        <x:f>"Signup Started"</x:f>
        <x:v>Signup Started</x:v>
      </x:c>
      <x:c r="Q5" s="6" t="n">
        <x:f>$B$2*'Data &amp; Targets'!$C$31*'Data &amp; Targets'!$C$32</x:f>
        <x:v>22837.5</x:v>
      </x:c>
      <x:c r="R5" s="4"/>
      <x:c r="S5" s="4" t="str">
        <x:f>'Data &amp; Targets'!G31</x:f>
        <x:v>Enterprise</x:v>
      </x:c>
      <x:c r="T5" s="9" t="n">
        <x:f>$B$7*'Data &amp; Targets'!H31</x:f>
        <x:v>181665</x:v>
      </x:c>
    </x:row>
    <x:row r="6">
      <x:c r="A6" s="4" t="str">
        <x:f>"Sessions / User"</x:f>
        <x:v>Sessions / User</x:v>
      </x:c>
      <x:c r="B6" s="8" t="n">
        <x:f>INDEX('Data &amp; Targets'!$G$16:$G$27,MATCH('Data &amp; Targets'!$C$9,'Data &amp; Targets'!$B$16:$B$27,0))</x:f>
        <x:v>6.2</x:v>
      </x:c>
      <x:c r="C6" s="8" t="n">
        <x:f>INDEX('Data &amp; Targets'!$N$16:$N$27,MATCH('Data &amp; Targets'!$C$9,'Data &amp; Targets'!$B$16:$B$27,0))</x:f>
        <x:v>6</x:v>
      </x:c>
      <x:c r="D6" s="8" t="n">
        <x:f>IF(MATCH('Data &amp; Targets'!$C$9,'Data &amp; Targets'!$B$16:$B$27,0)&lt;=1,"",INDEX('Data &amp; Targets'!$G$16:$G$27,MATCH('Data &amp; Targets'!$C$9,'Data &amp; Targets'!$B$16:$B$27,0)-1))</x:f>
        <x:v>6</x:v>
      </x:c>
      <x:c r="E6" s="4" t="str">
        <x:f t="shared" si="0"/>
        <x:v>Higher</x:v>
      </x:c>
      <x:c r="F6" s="4" t="str">
        <x:f t="shared" si="1"/>
        <x:v>Favorable</x:v>
      </x:c>
      <x:c r="G6" s="4"/>
      <x:c r="H6" s="11" t="str">
        <x:f>TEXT('Data &amp; Targets'!B20,"mmm yyyy")</x:f>
        <x:v>May 2025</x:v>
      </x:c>
      <x:c r="I6" s="4" t="n">
        <x:f>'Data &amp; Targets'!C20</x:f>
        <x:v>19700</x:v>
      </x:c>
      <x:c r="J6" s="4" t="n">
        <x:f>'Data &amp; Targets'!J20</x:f>
        <x:v>20000</x:v>
      </x:c>
      <x:c r="K6" s="4"/>
      <x:c r="L6" s="11" t="str">
        <x:f>TEXT('Data &amp; Targets'!B20,"mmm yyyy")</x:f>
        <x:v>May 2025</x:v>
      </x:c>
      <x:c r="M6" s="4" t="n">
        <x:f>'Data &amp; Targets'!H20</x:f>
        <x:v>241600</x:v>
      </x:c>
      <x:c r="N6" s="4" t="n">
        <x:f>'Data &amp; Targets'!O20</x:f>
        <x:v>245000</x:v>
      </x:c>
      <x:c r="O6" s="4"/>
      <x:c r="P6" s="4" t="str">
        <x:f>"Site Visitors"</x:f>
        <x:v>Site Visitors</x:v>
      </x:c>
      <x:c r="Q6" s="6" t="n">
        <x:f>$B$2*'Data &amp; Targets'!$C$31</x:f>
        <x:v>182700</x:v>
      </x:c>
      <x:c r="R6" s="4"/>
      <x:c r="S6" s="4"/>
      <x:c r="T6" s="4"/>
    </x:row>
    <x:row r="7">
      <x:c r="A7" s="4" t="str">
        <x:f>"Monthly Recurring Revenue"</x:f>
        <x:v>Monthly Recurring Revenue</x:v>
      </x:c>
      <x:c r="B7" s="9" t="n">
        <x:f>INDEX('Data &amp; Targets'!$H$16:$H$27,MATCH('Data &amp; Targets'!$C$9,'Data &amp; Targets'!$B$16:$B$27,0))</x:f>
        <x:v>403700</x:v>
      </x:c>
      <x:c r="C7" s="9" t="n">
        <x:f>INDEX('Data &amp; Targets'!$O$16:$O$27,MATCH('Data &amp; Targets'!$C$9,'Data &amp; Targets'!$B$16:$B$27,0))</x:f>
        <x:v>400000</x:v>
      </x:c>
      <x:c r="D7" s="9" t="n">
        <x:f>IF(MATCH('Data &amp; Targets'!$C$9,'Data &amp; Targets'!$B$16:$B$27,0)&lt;=1,"",INDEX('Data &amp; Targets'!$H$16:$H$27,MATCH('Data &amp; Targets'!$C$9,'Data &amp; Targets'!$B$16:$B$27,0)-1))</x:f>
        <x:v>376400</x:v>
      </x:c>
      <x:c r="E7" s="4" t="str">
        <x:f t="shared" si="0"/>
        <x:v>Higher</x:v>
      </x:c>
      <x:c r="F7" s="4" t="str">
        <x:f t="shared" si="1"/>
        <x:v>Favorable</x:v>
      </x:c>
      <x:c r="G7" s="4"/>
      <x:c r="H7" s="11" t="str">
        <x:f>TEXT('Data &amp; Targets'!B21,"mmm yyyy")</x:f>
        <x:v>Jun 2025</x:v>
      </x:c>
      <x:c r="I7" s="4" t="n">
        <x:f>'Data &amp; Targets'!C21</x:f>
        <x:v>21050</x:v>
      </x:c>
      <x:c r="J7" s="4" t="n">
        <x:f>'Data &amp; Targets'!J21</x:f>
        <x:v>21500</x:v>
      </x:c>
      <x:c r="K7" s="4"/>
      <x:c r="L7" s="11" t="str">
        <x:f>TEXT('Data &amp; Targets'!B21,"mmm yyyy")</x:f>
        <x:v>Jun 2025</x:v>
      </x:c>
      <x:c r="M7" s="4" t="n">
        <x:f>'Data &amp; Targets'!H21</x:f>
        <x:v>258900</x:v>
      </x:c>
      <x:c r="N7" s="4" t="n">
        <x:f>'Data &amp; Targets'!O21</x:f>
        <x:v>262000</x:v>
      </x:c>
      <x:c r="O7" s="4"/>
      <x:c r="P7" s="4"/>
      <x:c r="Q7" s="4"/>
      <x:c r="R7" s="4"/>
      <x:c r="S7" s="4"/>
      <x:c r="T7" s="4"/>
    </x:row>
    <x:row r="8">
      <x:c r="A8" s="4" t="str">
        <x:f>"Bounce Rate"</x:f>
        <x:v>Bounce Rate</x:v>
      </x:c>
      <x:c r="B8" s="7" t="n">
        <x:f>INDEX('Data &amp; Targets'!$I$16:$I$27,MATCH('Data &amp; Targets'!$C$9,'Data &amp; Targets'!$B$16:$B$27,0))</x:f>
        <x:v>0.34</x:v>
      </x:c>
      <x:c r="C8" s="7" t="n">
        <x:f>INDEX('Data &amp; Targets'!$P$16:$P$27,MATCH('Data &amp; Targets'!$C$9,'Data &amp; Targets'!$B$16:$B$27,0))</x:f>
        <x:v>0.36</x:v>
      </x:c>
      <x:c r="D8" s="7" t="n">
        <x:f>IF(MATCH('Data &amp; Targets'!$C$9,'Data &amp; Targets'!$B$16:$B$27,0)&lt;=1,"",INDEX('Data &amp; Targets'!$I$16:$I$27,MATCH('Data &amp; Targets'!$C$9,'Data &amp; Targets'!$B$16:$B$27,0)-1))</x:f>
        <x:v>0.35</x:v>
      </x:c>
      <x:c r="E8" s="4" t="str">
        <x:f>"Lower"</x:f>
        <x:v>Lower</x:v>
      </x:c>
      <x:c r="F8" s="4" t="str">
        <x:f t="shared" si="1"/>
        <x:v>Favorable</x:v>
      </x:c>
      <x:c r="G8" s="4"/>
      <x:c r="H8" s="11" t="str">
        <x:f>TEXT('Data &amp; Targets'!B22,"mmm yyyy")</x:f>
        <x:v>Jul 2025</x:v>
      </x:c>
      <x:c r="I8" s="4" t="n">
        <x:f>'Data &amp; Targets'!C22</x:f>
        <x:v>22800</x:v>
      </x:c>
      <x:c r="J8" s="4" t="n">
        <x:f>'Data &amp; Targets'!J22</x:f>
        <x:v>23000</x:v>
      </x:c>
      <x:c r="K8" s="4"/>
      <x:c r="L8" s="11" t="str">
        <x:f>TEXT('Data &amp; Targets'!B22,"mmm yyyy")</x:f>
        <x:v>Jul 2025</x:v>
      </x:c>
      <x:c r="M8" s="4" t="n">
        <x:f>'Data &amp; Targets'!H22</x:f>
        <x:v>281300</x:v>
      </x:c>
      <x:c r="N8" s="4" t="n">
        <x:f>'Data &amp; Targets'!O22</x:f>
        <x:v>285000</x:v>
      </x:c>
      <x:c r="O8" s="4"/>
      <x:c r="P8" s="4"/>
      <x:c r="Q8" s="4"/>
      <x:c r="R8" s="4"/>
      <x:c r="S8" s="4"/>
      <x:c r="T8" s="4"/>
    </x:row>
    <x:row r="9">
      <x:c r="A9" s="4" t="str">
        <x:f>"MRR / Active User"</x:f>
        <x:v>MRR / Active User</x:v>
      </x:c>
      <x:c r="B9" s="10" t="n">
        <x:f>INDEX('Data &amp; Targets'!$H$16:$H$27,MATCH('Data &amp; Targets'!$C$9,'Data &amp; Targets'!$B$16:$B$27,0))/INDEX('Data &amp; Targets'!$C$16:$C$27,MATCH('Data &amp; Targets'!$C$9,'Data &amp; Targets'!$B$16:$B$27,0))</x:f>
        <x:v>12.815873015873017</x:v>
      </x:c>
      <x:c r="C9" s="10" t="n">
        <x:f>INDEX('Data &amp; Targets'!$O$16:$O$27,MATCH('Data &amp; Targets'!$C$9,'Data &amp; Targets'!$B$16:$B$27,0))/INDEX('Data &amp; Targets'!$J$16:$J$27,MATCH('Data &amp; Targets'!$C$9,'Data &amp; Targets'!$B$16:$B$27,0))</x:f>
        <x:v>13.333333333333334</x:v>
      </x:c>
      <x:c r="D9" s="10" t="n">
        <x:f>IF(IF(MATCH('Data &amp; Targets'!$C$9,'Data &amp; Targets'!$B$16:$B$27,0)&lt;=1,"",INDEX('Data &amp; Targets'!$C$16:$C$27,MATCH('Data &amp; Targets'!$C$9,'Data &amp; Targets'!$B$16:$B$27,0)-1))="","",IF(MATCH('Data &amp; Targets'!$C$9,'Data &amp; Targets'!$B$16:$B$27,0)&lt;=1,"",INDEX('Data &amp; Targets'!$H$16:$H$27,MATCH('Data &amp; Targets'!$C$9,'Data &amp; Targets'!$B$16:$B$27,0)-1))/IF(MATCH('Data &amp; Targets'!$C$9,'Data &amp; Targets'!$B$16:$B$27,0)&lt;=1,"",INDEX('Data &amp; Targets'!$C$16:$C$27,MATCH('Data &amp; Targets'!$C$9,'Data &amp; Targets'!$B$16:$B$27,0)-1)))</x:f>
        <x:v>12.69477234401349</x:v>
      </x:c>
      <x:c r="E9" s="4" t="str">
        <x:f>"Higher"</x:f>
        <x:v>Higher</x:v>
      </x:c>
      <x:c r="F9" s="4" t="str">
        <x:f t="shared" si="1"/>
        <x:v>Watch</x:v>
      </x:c>
      <x:c r="G9" s="4"/>
      <x:c r="H9" s="11" t="str">
        <x:f>TEXT('Data &amp; Targets'!B23,"mmm yyyy")</x:f>
        <x:v>Aug 2025</x:v>
      </x:c>
      <x:c r="I9" s="4" t="n">
        <x:f>'Data &amp; Targets'!C23</x:f>
        <x:v>24400</x:v>
      </x:c>
      <x:c r="J9" s="4" t="n">
        <x:f>'Data &amp; Targets'!J23</x:f>
        <x:v>24500</x:v>
      </x:c>
      <x:c r="K9" s="4"/>
      <x:c r="L9" s="11" t="str">
        <x:f>TEXT('Data &amp; Targets'!B23,"mmm yyyy")</x:f>
        <x:v>Aug 2025</x:v>
      </x:c>
      <x:c r="M9" s="4" t="n">
        <x:f>'Data &amp; Targets'!H23</x:f>
        <x:v>303200</x:v>
      </x:c>
      <x:c r="N9" s="4" t="n">
        <x:f>'Data &amp; Targets'!O23</x:f>
        <x:v>300000</x:v>
      </x:c>
      <x:c r="O9" s="4"/>
      <x:c r="P9" s="4"/>
      <x:c r="Q9" s="4"/>
      <x:c r="R9" s="4"/>
      <x:c r="S9" s="4"/>
      <x:c r="T9" s="4"/>
    </x:row>
    <x:row r="10">
      <x:c r="A10" s="4"/>
      <x:c r="B10" s="4"/>
      <x:c r="C10" s="4"/>
      <x:c r="D10" s="4"/>
      <x:c r="E10" s="4"/>
      <x:c r="F10" s="4"/>
      <x:c r="G10" s="4"/>
      <x:c r="H10" s="11" t="str">
        <x:f>TEXT('Data &amp; Targets'!B24,"mmm yyyy")</x:f>
        <x:v>Sep 2025</x:v>
      </x:c>
      <x:c r="I10" s="4" t="n">
        <x:f>'Data &amp; Targets'!C24</x:f>
        <x:v>26150</x:v>
      </x:c>
      <x:c r="J10" s="4" t="n">
        <x:f>'Data &amp; Targets'!J24</x:f>
        <x:v>26000</x:v>
      </x:c>
      <x:c r="K10" s="4"/>
      <x:c r="L10" s="11" t="str">
        <x:f>TEXT('Data &amp; Targets'!B24,"mmm yyyy")</x:f>
        <x:v>Sep 2025</x:v>
      </x:c>
      <x:c r="M10" s="4" t="n">
        <x:f>'Data &amp; Targets'!H24</x:f>
        <x:v>328500</x:v>
      </x:c>
      <x:c r="N10" s="4" t="n">
        <x:f>'Data &amp; Targets'!O24</x:f>
        <x:v>330000</x:v>
      </x:c>
      <x:c r="O10" s="4"/>
      <x:c r="P10" s="4"/>
      <x:c r="Q10" s="4"/>
      <x:c r="R10" s="4"/>
      <x:c r="S10" s="4"/>
      <x:c r="T10" s="4"/>
    </x:row>
    <x:row r="11">
      <x:c r="A11" s="4"/>
      <x:c r="B11" s="4"/>
      <x:c r="C11" s="4"/>
      <x:c r="D11" s="4"/>
      <x:c r="E11" s="4"/>
      <x:c r="F11" s="4"/>
      <x:c r="G11" s="4"/>
      <x:c r="H11" s="11" t="str">
        <x:f>TEXT('Data &amp; Targets'!B25,"mmm yyyy")</x:f>
        <x:v>Oct 2025</x:v>
      </x:c>
      <x:c r="I11" s="4" t="n">
        <x:f>'Data &amp; Targets'!C25</x:f>
        <x:v>27900</x:v>
      </x:c>
      <x:c r="J11" s="4" t="n">
        <x:f>'Data &amp; Targets'!J25</x:f>
        <x:v>28000</x:v>
      </x:c>
      <x:c r="K11" s="4"/>
      <x:c r="L11" s="11" t="str">
        <x:f>TEXT('Data &amp; Targets'!B25,"mmm yyyy")</x:f>
        <x:v>Oct 2025</x:v>
      </x:c>
      <x:c r="M11" s="4" t="n">
        <x:f>'Data &amp; Targets'!H25</x:f>
        <x:v>351800</x:v>
      </x:c>
      <x:c r="N11" s="4" t="n">
        <x:f>'Data &amp; Targets'!O25</x:f>
        <x:v>355000</x:v>
      </x:c>
      <x:c r="O11" s="4"/>
      <x:c r="P11" s="4"/>
      <x:c r="Q11" s="4"/>
      <x:c r="R11" s="4"/>
      <x:c r="S11" s="4"/>
      <x:c r="T11" s="4"/>
    </x:row>
    <x:row r="12">
      <x:c r="A12" s="4"/>
      <x:c r="B12" s="4"/>
      <x:c r="C12" s="4"/>
      <x:c r="D12" s="4"/>
      <x:c r="E12" s="4"/>
      <x:c r="F12" s="4"/>
      <x:c r="G12" s="4"/>
      <x:c r="H12" s="11" t="str">
        <x:f>TEXT('Data &amp; Targets'!B26,"mmm yyyy")</x:f>
        <x:v>Nov 2025</x:v>
      </x:c>
      <x:c r="I12" s="4" t="n">
        <x:f>'Data &amp; Targets'!C26</x:f>
        <x:v>29650</x:v>
      </x:c>
      <x:c r="J12" s="4" t="n">
        <x:f>'Data &amp; Targets'!J26</x:f>
        <x:v>29500</x:v>
      </x:c>
      <x:c r="K12" s="4"/>
      <x:c r="L12" s="11" t="str">
        <x:f>TEXT('Data &amp; Targets'!B26,"mmm yyyy")</x:f>
        <x:v>Nov 2025</x:v>
      </x:c>
      <x:c r="M12" s="4" t="n">
        <x:f>'Data &amp; Targets'!H26</x:f>
        <x:v>376400</x:v>
      </x:c>
      <x:c r="N12" s="4" t="n">
        <x:f>'Data &amp; Targets'!O26</x:f>
        <x:v>380000</x:v>
      </x:c>
      <x:c r="O12" s="4"/>
      <x:c r="P12" s="4"/>
      <x:c r="Q12" s="4"/>
      <x:c r="R12" s="4"/>
      <x:c r="S12" s="4"/>
      <x:c r="T12" s="4"/>
    </x:row>
    <x:row r="13">
      <x:c r="A13" s="4"/>
      <x:c r="B13" s="4"/>
      <x:c r="C13" s="4"/>
      <x:c r="D13" s="4"/>
      <x:c r="E13" s="4"/>
      <x:c r="F13" s="4"/>
      <x:c r="G13" s="4"/>
      <x:c r="H13" s="11" t="str">
        <x:f>TEXT('Data &amp; Targets'!B27,"mmm yyyy")</x:f>
        <x:v>Dec 2025</x:v>
      </x:c>
      <x:c r="I13" s="4" t="n">
        <x:f>'Data &amp; Targets'!C27</x:f>
        <x:v>31500</x:v>
      </x:c>
      <x:c r="J13" s="4" t="n">
        <x:f>'Data &amp; Targets'!J27</x:f>
        <x:v>30000</x:v>
      </x:c>
      <x:c r="K13" s="4"/>
      <x:c r="L13" s="11" t="str">
        <x:f>TEXT('Data &amp; Targets'!B27,"mmm yyyy")</x:f>
        <x:v>Dec 2025</x:v>
      </x:c>
      <x:c r="M13" s="4" t="n">
        <x:f>'Data &amp; Targets'!H27</x:f>
        <x:v>403700</x:v>
      </x:c>
      <x:c r="N13" s="4" t="n">
        <x:f>'Data &amp; Targets'!O27</x:f>
        <x:v>400000</x:v>
      </x:c>
      <x:c r="O13" s="4"/>
      <x:c r="P13" s="4"/>
      <x:c r="Q13" s="4"/>
      <x:c r="R13" s="4"/>
      <x:c r="S13" s="4"/>
      <x:c r="T13" s="4"/>
    </x:row>
  </x:sheetData>
  <x:pageMargins left="0.7" right="0.7" top="0.75" bottom="0.75" header="0.3" footer="0.3"/>
</x:worksheet>
</file>