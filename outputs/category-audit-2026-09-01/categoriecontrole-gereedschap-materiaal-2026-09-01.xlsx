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18cf08089f4342" /></Relationships>
</file>

<file path=xl/workbook.xml><?xml version="1.0" encoding="utf-8"?>
<x:workbook xmlns:x="http://schemas.openxmlformats.org/spreadsheetml/2006/main">
  <x:sheets>
    <x:sheet xmlns:r="http://schemas.openxmlformats.org/officeDocument/2006/relationships" name="Samenvatting" sheetId="1" r:id="Rd8f65eb7b63144a9"/>
    <x:sheet xmlns:r="http://schemas.openxmlformats.org/officeDocument/2006/relationships" name="Te beoordelen" sheetId="2" r:id="R0f7f8b3267554278"/>
    <x:sheet xmlns:r="http://schemas.openxmlformats.org/officeDocument/2006/relationships" name="Waarschijnlijk fout" sheetId="3" r:id="R0d421b0b1627479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9">
    <x:font>
      <x:sz val="11"/>
      <x:name val="Carlito"/>
    </x:font>
    <x:font>
      <x:b/>
      <x:sz val="11"/>
      <x:color rgb="FFFFFFFF"/>
      <x:name val="Carlito"/>
    </x:font>
    <x:font>
      <x:b/>
      <x:sz val="18"/>
      <x:color rgb="FFFFFFFF"/>
      <x:name val="Carlito"/>
    </x:font>
    <x:font>
      <x:sz val="11"/>
      <x:color rgb="FF065F46"/>
      <x:name val="Carlito"/>
    </x:font>
    <x:font>
      <x:b/>
      <x:sz val="11"/>
      <x:color rgb="FF374151"/>
      <x:name val="Carlito"/>
    </x:font>
    <x:font>
      <x:b/>
      <x:sz val="14"/>
      <x:color rgb="FF0F766E"/>
      <x:name val="Carlito"/>
    </x:font>
    <x:font>
      <x:b/>
      <x:sz val="11"/>
      <x:color rgb="FF92400E"/>
      <x:name val="Carlito"/>
    </x:font>
    <x:font>
      <x:sz val="11"/>
      <x:color rgb="FF78350F"/>
      <x:name val="Carlito"/>
    </x:font>
    <x:font>
      <x:b/>
      <x:sz val="11"/>
      <x:name val="Carlito"/>
    </x:font>
  </x:fonts>
  <x:fills count="9">
    <x:fill>
      <x:patternFill patternType="none"/>
    </x:fill>
    <x:fill>
      <x:patternFill patternType="gray125"/>
    </x:fill>
    <x:fill>
      <x:patternFill patternType="solid">
        <x:fgColor rgb="FF0F766E"/>
      </x:patternFill>
    </x:fill>
    <x:fill>
      <x:patternFill patternType="solid">
        <x:fgColor rgb="FFECFDF5"/>
      </x:patternFill>
    </x:fill>
    <x:fill>
      <x:patternFill patternType="solid">
        <x:fgColor rgb="FFF3F4F6"/>
      </x:patternFill>
    </x:fill>
    <x:fill>
      <x:patternFill patternType="solid">
        <x:fgColor rgb="FFFFFFFF"/>
      </x:patternFill>
    </x:fill>
    <x:fill>
      <x:patternFill patternType="solid">
        <x:fgColor rgb="FFFEF3C7"/>
      </x:patternFill>
    </x:fill>
    <x:fill>
      <x:patternFill patternType="solid">
        <x:fgColor rgb="FFFFFBEB"/>
      </x:patternFill>
    </x:fill>
    <x:fill>
      <x:patternFill patternType="solid">
        <x:fgColor rgb="FF1F2937"/>
      </x:patternFill>
    </x:fill>
  </x:fills>
  <x:borders count="11">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right"/>
    </x:xf>
    <x:xf numFmtId="0" fontId="4" fillId="4" borderId="10" xfId="0" applyNumberFormat="1" applyFont="1" applyFill="1" applyBorder="1"/>
    <x:xf numFmtId="0" fontId="5" fillId="5" borderId="10" xfId="0" applyNumberFormat="1" applyFont="1" applyFill="1" applyBorder="1" applyAlignment="1">
      <x:alignment horizontal="right"/>
    </x:xf>
    <x:xf numFmtId="0" fontId="0" fillId="6" borderId="0" xfId="0" applyNumberFormat="1" applyFont="1" applyFill="1" applyBorder="1"/>
    <x:xf numFmtId="0" fontId="6"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0" fillId="8" borderId="0" xfId="0" applyNumberFormat="1" applyFont="1" applyFill="1" applyBorder="1"/>
    <x:xf numFmtId="0" fontId="1" fillId="8" borderId="0" xfId="0" applyNumberFormat="1" applyFont="1" applyFill="1" applyBorder="1"/>
    <x:xf numFmtId="0" fontId="8" fillId="4"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8" fillId="4" borderId="5" xfId="0" applyNumberFormat="1" applyFont="1" applyFill="1" applyBorder="1"/>
  </x:cellXfs>
  <x:cellStyles count="1">
    <x:cellStyle name="Normal" xfId="0"/>
  </x:cellStyles>
  <x:dxfs count="6">
    <x:dxf>
      <x:font>
        <x:b/>
        <x:color rgb="FF991B1B"/>
      </x:font>
      <x:fill>
        <x:patternFill patternType="solid">
          <x:bgColor rgb="FFFEE2E2"/>
        </x:patternFill>
      </x:fill>
    </x:dxf>
    <x:dxf>
      <x:font>
        <x:b/>
        <x:color rgb="FF92400E"/>
      </x:font>
      <x:fill>
        <x:patternFill patternType="solid">
          <x:bgColor rgb="FFFEF3C7"/>
        </x:patternFill>
      </x:fill>
    </x:dxf>
    <x:dxf>
      <x:font>
        <x:b/>
        <x:color rgb="FF374151"/>
      </x:font>
      <x:fill>
        <x:patternFill patternType="solid">
          <x:bgColor rgb="FFE5E7EB"/>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374151"/>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e3f3ef18d4478e" /><Relationship Type="http://schemas.openxmlformats.org/officeDocument/2006/relationships/theme" Target="/xl/theme/theme1.xml" Id="Rb5af38da50444007" /><Relationship Type="http://schemas.openxmlformats.org/officeDocument/2006/relationships/sharedStrings" Target="/xl/sharedStrings.xml" Id="R6688f591e3114adc" /><Relationship Type="http://schemas.openxmlformats.org/officeDocument/2006/relationships/worksheet" Target="/xl/worksheets/sheet1.xml" Id="Rd8f65eb7b63144a9" /><Relationship Type="http://schemas.openxmlformats.org/officeDocument/2006/relationships/worksheet" Target="/xl/worksheets/sheet2.xml" Id="R0f7f8b3267554278" /><Relationship Type="http://schemas.openxmlformats.org/officeDocument/2006/relationships/worksheet" Target="/xl/worksheets/sheet3.xml" Id="R0d421b0b1627479b" /></Relationships>
</file>

<file path=xl/tables/table1.xml><?xml version="1.0" encoding="utf-8"?>
<x:table xmlns:x="http://schemas.openxmlformats.org/spreadsheetml/2006/main" id="1" name="ReviewTable" displayName="ReviewTable" ref="A1:K72" headerRowCount="1" totalsRowCount="0" totalsRowShown="0">
  <x:autoFilter ref="A1:K72"/>
  <x:tableColumns count="11">
    <x:tableColumn id="1" name="Leverancier"/>
    <x:tableColumn id="2" name="Datum"/>
    <x:tableColumn id="3" name="Product / regel"/>
    <x:tableColumn id="4" name="Productcategorie nu"/>
    <x:tableColumn id="5" name="Kostenregelcategorie"/>
    <x:tableColumn id="6" name="Bankcategorie ruw"/>
    <x:tableColumn id="7" name="Voorgestelde categorie"/>
    <x:tableColumn id="8" name="Zekerheid huidig correct"/>
    <x:tableColumn id="9" name="Bevinding"/>
    <x:tableColumn id="10" name="Reden"/>
    <x:tableColumn id="11" name="Kosten-ID"/>
  </x:tableColumns>
  <x:tableStyleInfo name="TableStyleMedium2" showFirstColumn="0" showLastColumn="0" showRowStripes="1" showColumnStripes="0"/>
</x:table>
</file>

<file path=xl/tables/table2.xml><?xml version="1.0" encoding="utf-8"?>
<x:table xmlns:x="http://schemas.openxmlformats.org/spreadsheetml/2006/main" id="2" name="LikelyWrongTable" displayName="LikelyWrongTable" ref="A1:K34" headerRowCount="1" totalsRowCount="0" totalsRowShown="0">
  <x:autoFilter ref="A1:K34"/>
  <x:tableColumns count="11">
    <x:tableColumn id="1" name="Leverancier"/>
    <x:tableColumn id="2" name="Datum"/>
    <x:tableColumn id="3" name="Product / regel"/>
    <x:tableColumn id="4" name="Productcategorie nu"/>
    <x:tableColumn id="5" name="Kostenregelcategorie"/>
    <x:tableColumn id="6" name="Bankcategorie ruw"/>
    <x:tableColumn id="7" name="Voorgestelde categorie"/>
    <x:tableColumn id="8" name="Zekerheid huidig correct"/>
    <x:tableColumn id="9" name="Bevinding"/>
    <x:tableColumn id="10" name="Reden"/>
    <x:tableColumn id="11" name="Kosten-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b7079197be4744" /></Relationships>
</file>

<file path=xl/worksheets/_rels/sheet3.xml.rels>&#65279;<?xml version="1.0" encoding="utf-8"?><Relationships xmlns="http://schemas.openxmlformats.org/package/2006/relationships"><Relationship Type="http://schemas.openxmlformats.org/officeDocument/2006/relationships/table" Target="/xl/tables/table2.xml" Id="R31826fb565cc4e6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4" hidden="0" customWidth="1"/>
    <x:col min="4" max="4" width="20" hidden="0" customWidth="1"/>
    <x:col min="5" max="5" width="20" hidden="0" customWidth="1"/>
    <x:col min="6" max="6" width="20" hidden="0" customWidth="1"/>
  </x:cols>
  <x:sheetData>
    <x:row r="1">
      <x:c r="A1" s="39" t="str">
        <x:v>Categoriecontrole gereedschap / materiaal</x:v>
      </x:c>
      <x:c r="B1" s="39"/>
      <x:c r="C1" s="39"/>
      <x:c r="D1" s="39"/>
      <x:c r="E1" s="39"/>
      <x:c r="F1" s="39"/>
    </x:row>
    <x:row r="2" ht="40" customHeight="1">
      <x:c r="A2" s="42" t="str">
        <x:v>Controle op alle 492 geïmporteerde productregels. Er zijn nog geen categorieën in de database aangepast.</x:v>
      </x:c>
      <x:c r="B2" s="42"/>
      <x:c r="C2" s="42"/>
      <x:c r="D2" s="42"/>
      <x:c r="E2" s="42"/>
      <x:c r="F2" s="42"/>
    </x:row>
    <x:row r="4">
      <x:c r="A4" s="48" t="str">
        <x:v>Geanalyseerde productregels</x:v>
      </x:c>
      <x:c r="B4" s="49" t="n">
        <x:v>492</x:v>
      </x:c>
      <x:c r="D4" s="51" t="str">
        <x:v>Belangrijk</x:v>
      </x:c>
      <x:c r="E4" s="51"/>
      <x:c r="F4" s="51"/>
    </x:row>
    <x:row r="5" ht="32" customHeight="1">
      <x:c r="A5" s="48" t="str">
        <x:v>Regels onder 98% zekerheid</x:v>
      </x:c>
      <x:c r="B5" s="49" t="n">
        <x:f>COUNTA('Te beoordelen'!A2:A72)</x:f>
        <x:v>71</x:v>
      </x:c>
      <x:c r="D5" s="55" t="str">
        <x:v>De ruwe Knab-bankcategorie staat bij alle gekoppelde transacties op ‘overig’ en is daarom niet bruikbaar voor productclassificatie. Bij gesplitste facturen kan één banktransactie meerdere kostenregels met verschillende categorieën hebben. Het huidige transactievenster toont dat nog te simpel als één categorie.</x:v>
      </x:c>
      <x:c r="E5" s="55"/>
      <x:c r="F5" s="55"/>
    </x:row>
    <x:row r="6" ht="32" customHeight="1">
      <x:c r="A6" s="48" t="str">
        <x:v>Waarschijnlijk fout</x:v>
      </x:c>
      <x:c r="B6" s="49" t="n">
        <x:f>COUNTIF('Te beoordelen'!I2:I72,"waarschijnlijk fout")</x:f>
        <x:v>33</x:v>
      </x:c>
      <x:c r="D6" s="55"/>
      <x:c r="E6" s="55"/>
      <x:c r="F6" s="55"/>
    </x:row>
    <x:row r="7" ht="32" customHeight="1">
      <x:c r="A7" s="48" t="str">
        <x:v>Handmatig beslissen</x:v>
      </x:c>
      <x:c r="B7" s="49" t="n">
        <x:f>COUNTIF('Te beoordelen'!I2:I72,"handmatig beslissen")</x:f>
        <x:v>26</x:v>
      </x:c>
      <x:c r="D7" s="55"/>
      <x:c r="E7" s="55"/>
      <x:c r="F7" s="55"/>
    </x:row>
    <x:row r="8" ht="32" customHeight="1">
      <x:c r="A8" s="48" t="str">
        <x:v>Onvoldoende informatie</x:v>
      </x:c>
      <x:c r="B8" s="49" t="n">
        <x:f>COUNTIF('Te beoordelen'!I2:I72,"onvoldoende informatie")</x:f>
        <x:v>12</x:v>
      </x:c>
      <x:c r="D8" s="55"/>
      <x:c r="E8" s="55"/>
      <x:c r="F8" s="55"/>
    </x:row>
    <x:row r="10">
      <x:c r="A10" s="57" t="str">
        <x:v>Leeswijzer</x:v>
      </x:c>
      <x:c r="B10" s="57"/>
      <x:c r="C10" s="57"/>
      <x:c r="D10" s="57"/>
      <x:c r="E10" s="57"/>
      <x:c r="F10" s="57"/>
    </x:row>
    <x:row r="11" ht="34" customHeight="1">
      <x:c r="A11" s="61" t="str">
        <x:v>Waarschijnlijk fout</x:v>
      </x:c>
      <x:c r="B11" s="27" t="str">
        <x:v>Sterke productherkenning; voorgestelde categorie kan na jouw akkoord worden doorgevoerd.</x:v>
      </x:c>
      <x:c r="C11" s="27"/>
      <x:c r="D11" s="27"/>
      <x:c r="E11" s="27"/>
      <x:c r="F11" s="27"/>
    </x:row>
    <x:row r="12" ht="34" customHeight="1">
      <x:c r="A12" s="61" t="str">
        <x:v>Handmatig beslissen</x:v>
      </x:c>
      <x:c r="B12" s="27" t="str">
        <x:v>De juiste behandeling hangt af van gebruik of een gemengde bon/factuur.</x:v>
      </x:c>
      <x:c r="C12" s="27"/>
      <x:c r="D12" s="27"/>
      <x:c r="E12" s="27"/>
      <x:c r="F12" s="27"/>
    </x:row>
    <x:row r="13" ht="34" customHeight="1">
      <x:c r="A13" s="61" t="str">
        <x:v>Onvoldoende informatie</x:v>
      </x:c>
      <x:c r="B13" s="27" t="str">
        <x:v>Omschrijving is te algemeen; PDF/bon moet worden bekeken.</x:v>
      </x:c>
      <x:c r="C13" s="27"/>
      <x:c r="D13" s="27"/>
      <x:c r="E13" s="27"/>
      <x:c r="F13" s="27"/>
    </x:row>
    <x:row r="14" ht="34" customHeight="1">
      <x:c r="A14" s="61" t="str">
        <x:v>Stanley Fatmax handtacker</x:v>
      </x:c>
      <x:c r="B14" s="27" t="str">
        <x:v>De productregel staat al correct op gereedschap. De verwarring komt door de weergave van een gesplitste banktransactie.</x:v>
      </x:c>
      <x:c r="C14" s="27"/>
      <x:c r="D14" s="27"/>
      <x:c r="E14" s="27"/>
      <x:c r="F14" s="27"/>
    </x:row>
  </x:sheetData>
  <x:mergeCells>
    <x:mergeCell ref="A1:F1"/>
    <x:mergeCell ref="A2:F2"/>
    <x:mergeCell ref="D4:F4"/>
    <x:mergeCell ref="D5:F8"/>
    <x:mergeCell ref="A10:F10"/>
    <x:mergeCell ref="B11:F11"/>
    <x:mergeCell ref="B12:F12"/>
    <x:mergeCell ref="B13:F13"/>
    <x:mergeCell ref="B14:F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54" hidden="0" customWidth="1"/>
    <x:col min="4" max="4" width="20" hidden="0" customWidth="1"/>
    <x:col min="5" max="5" width="20" hidden="0" customWidth="1"/>
    <x:col min="6" max="6" width="22" hidden="0" customWidth="1"/>
    <x:col min="7" max="7" width="22" hidden="0" customWidth="1"/>
    <x:col min="8" max="8" width="18" hidden="0" customWidth="1"/>
    <x:col min="9" max="9" width="22" hidden="0" customWidth="1"/>
    <x:col min="10" max="10" width="52" hidden="0" customWidth="1"/>
    <x:col min="11" max="11" width="38" hidden="0" customWidth="1"/>
  </x:cols>
  <x:sheetData>
    <x:row r="1" ht="34" customHeight="1">
      <x:c r="A1" s="4" t="str">
        <x:v>Leverancier</x:v>
      </x:c>
      <x:c r="B1" s="4" t="str">
        <x:v>Datum</x:v>
      </x:c>
      <x:c r="C1" s="4" t="str">
        <x:v>Product / regel</x:v>
      </x:c>
      <x:c r="D1" s="4" t="str">
        <x:v>Productcategorie nu</x:v>
      </x:c>
      <x:c r="E1" s="4" t="str">
        <x:v>Kostenregelcategorie</x:v>
      </x:c>
      <x:c r="F1" s="4" t="str">
        <x:v>Bankcategorie ruw</x:v>
      </x:c>
      <x:c r="G1" s="4" t="str">
        <x:v>Voorgestelde categorie</x:v>
      </x:c>
      <x:c r="H1" s="4" t="str">
        <x:v>Zekerheid huidig correct</x:v>
      </x:c>
      <x:c r="I1" s="4" t="str">
        <x:v>Bevinding</x:v>
      </x:c>
      <x:c r="J1" s="4" t="str">
        <x:v>Reden</x:v>
      </x:c>
      <x:c r="K1" s="4" t="str">
        <x:v>Kosten-ID</x:v>
      </x:c>
    </x:row>
    <x:row r="2">
      <x:c r="A2" s="23" t="str">
        <x:v>BME Bouwmaten Nederland B.V. (Bouwmaat)</x:v>
      </x:c>
      <x:c r="B2" s="32" t="n">
        <x:v>46247.416666666664</x:v>
      </x:c>
      <x:c r="C2" s="24" t="str">
        <x:v>Knorr Cup-a-Soup Soep Tomaat 21x11 gr, 21 stuks</x:v>
      </x:c>
      <x:c r="D2" s="24" t="str">
        <x:v>overig</x:v>
      </x:c>
      <x:c r="E2" s="24" t="str">
        <x:v>overig</x:v>
      </x:c>
      <x:c r="F2" s="24" t="str">
        <x:v>overig</x:v>
      </x:c>
      <x:c r="G2" s="24" t="str">
        <x:v>eigen_verbruik</x:v>
      </x:c>
      <x:c r="H2" s="35" t="n">
        <x:v>0.05</x:v>
      </x:c>
      <x:c r="I2" s="24" t="str">
        <x:v>waarschijnlijk fout</x:v>
      </x:c>
      <x:c r="J2" s="24" t="str">
        <x:v>Eten, drinken of privéartikel; geen bouwmateriaal/gereedschap.</x:v>
      </x:c>
      <x:c r="K2" s="25" t="str">
        <x:v>480f07e9-aaa0-48b3-9722-b3b9f46d36e5</x:v>
      </x:c>
    </x:row>
    <x:row r="3">
      <x:c r="A3" s="26" t="str">
        <x:v>BME Bouwmaten Nederland B.V. (Bouwmaat)</x:v>
      </x:c>
      <x:c r="B3" s="33" t="n">
        <x:v>46247.416666666664</x:v>
      </x:c>
      <x:c r="C3" s="27" t="str">
        <x:v>Ola Magnum Almond 110ml</x:v>
      </x:c>
      <x:c r="D3" s="27" t="str">
        <x:v>overig</x:v>
      </x:c>
      <x:c r="E3" s="27" t="str">
        <x:v>overig</x:v>
      </x:c>
      <x:c r="F3" s="27" t="str">
        <x:v>overig</x:v>
      </x:c>
      <x:c r="G3" s="27" t="str">
        <x:v>eigen_verbruik</x:v>
      </x:c>
      <x:c r="H3" s="36" t="n">
        <x:v>0.05</x:v>
      </x:c>
      <x:c r="I3" s="27" t="str">
        <x:v>waarschijnlijk fout</x:v>
      </x:c>
      <x:c r="J3" s="27" t="str">
        <x:v>Eten, drinken of privéartikel; geen bouwmateriaal/gereedschap.</x:v>
      </x:c>
      <x:c r="K3" s="28" t="str">
        <x:v>480f07e9-aaa0-48b3-9722-b3b9f46d36e5</x:v>
      </x:c>
    </x:row>
    <x:row r="4">
      <x:c r="A4" s="26" t="str">
        <x:v>BME Bouwmaten Nederland B.V. (Bouwmaat)</x:v>
      </x:c>
      <x:c r="B4" s="33" t="n">
        <x:v>46247.416666666664</x:v>
      </x:c>
      <x:c r="C4" s="27" t="str">
        <x:v>Red Bull Energy Blik 25cl</x:v>
      </x:c>
      <x:c r="D4" s="27" t="str">
        <x:v>overig</x:v>
      </x:c>
      <x:c r="E4" s="27" t="str">
        <x:v>overig</x:v>
      </x:c>
      <x:c r="F4" s="27" t="str">
        <x:v>overig</x:v>
      </x:c>
      <x:c r="G4" s="27" t="str">
        <x:v>eigen_verbruik</x:v>
      </x:c>
      <x:c r="H4" s="36" t="n">
        <x:v>0.05</x:v>
      </x:c>
      <x:c r="I4" s="27" t="str">
        <x:v>waarschijnlijk fout</x:v>
      </x:c>
      <x:c r="J4" s="27" t="str">
        <x:v>Eten, drinken of privéartikel; geen bouwmateriaal/gereedschap.</x:v>
      </x:c>
      <x:c r="K4" s="28" t="str">
        <x:v>480f07e9-aaa0-48b3-9722-b3b9f46d36e5</x:v>
      </x:c>
    </x:row>
    <x:row r="5">
      <x:c r="A5" s="26" t="str">
        <x:v>BME Bouwmaten Nederland B.V. (Bouwmaat)</x:v>
      </x:c>
      <x:c r="B5" s="33" t="n">
        <x:v>46247.416666666664</x:v>
      </x:c>
      <x:c r="C5" s="27" t="str">
        <x:v>Snickers</x:v>
      </x:c>
      <x:c r="D5" s="27" t="str">
        <x:v>overig</x:v>
      </x:c>
      <x:c r="E5" s="27" t="str">
        <x:v>overig</x:v>
      </x:c>
      <x:c r="F5" s="27" t="str">
        <x:v>overig</x:v>
      </x:c>
      <x:c r="G5" s="27" t="str">
        <x:v>eigen_verbruik</x:v>
      </x:c>
      <x:c r="H5" s="36" t="n">
        <x:v>0.05</x:v>
      </x:c>
      <x:c r="I5" s="27" t="str">
        <x:v>waarschijnlijk fout</x:v>
      </x:c>
      <x:c r="J5" s="27" t="str">
        <x:v>Eten, drinken of privéartikel; geen bouwmateriaal/gereedschap.</x:v>
      </x:c>
      <x:c r="K5" s="28" t="str">
        <x:v>480f07e9-aaa0-48b3-9722-b3b9f46d36e5</x:v>
      </x:c>
    </x:row>
    <x:row r="6">
      <x:c r="A6" s="26" t="str">
        <x:v>BME Bouwmaten Nederland B.V. (Bouwmaat)</x:v>
      </x:c>
      <x:c r="B6" s="33" t="n">
        <x:v>46247.416666666664</x:v>
      </x:c>
      <x:c r="C6" s="27" t="str">
        <x:v>Statiegeld</x:v>
      </x:c>
      <x:c r="D6" s="27" t="str">
        <x:v>overig</x:v>
      </x:c>
      <x:c r="E6" s="27" t="str">
        <x:v>overig</x:v>
      </x:c>
      <x:c r="F6" s="27" t="str">
        <x:v>overig</x:v>
      </x:c>
      <x:c r="G6" s="27" t="str">
        <x:v>retourwaarborg / geen definitieve kosten</x:v>
      </x:c>
      <x:c r="H6" s="36" t="n">
        <x:v>0.55</x:v>
      </x:c>
      <x:c r="I6" s="27" t="str">
        <x:v>handmatig beslissen</x:v>
      </x:c>
      <x:c r="J6" s="27" t="str">
        <x:v>Statiegeld is terugvorderbaar en mogelijk geen definitieve kostenpost.</x:v>
      </x:c>
      <x:c r="K6" s="28" t="str">
        <x:v>480f07e9-aaa0-48b3-9722-b3b9f46d36e5</x:v>
      </x:c>
    </x:row>
    <x:row r="7">
      <x:c r="A7" s="26" t="str">
        <x:v>BME Bouwmaten Nederland B.V. (Bouwmaat)</x:v>
      </x:c>
      <x:c r="B7" s="33" t="n">
        <x:v>46247.416666666664</x:v>
      </x:c>
      <x:c r="C7" s="27" t="str">
        <x:v>Twix 50 gram</x:v>
      </x:c>
      <x:c r="D7" s="27" t="str">
        <x:v>overig</x:v>
      </x:c>
      <x:c r="E7" s="27" t="str">
        <x:v>overig</x:v>
      </x:c>
      <x:c r="F7" s="27" t="str">
        <x:v>overig</x:v>
      </x:c>
      <x:c r="G7" s="27" t="str">
        <x:v>eigen_verbruik</x:v>
      </x:c>
      <x:c r="H7" s="36" t="n">
        <x:v>0.05</x:v>
      </x:c>
      <x:c r="I7" s="27" t="str">
        <x:v>waarschijnlijk fout</x:v>
      </x:c>
      <x:c r="J7" s="27" t="str">
        <x:v>Eten, drinken of privéartikel; geen bouwmateriaal/gereedschap.</x:v>
      </x:c>
      <x:c r="K7" s="28" t="str">
        <x:v>480f07e9-aaa0-48b3-9722-b3b9f46d36e5</x:v>
      </x:c>
    </x:row>
    <x:row r="8">
      <x:c r="A8" s="26" t="str">
        <x:v>Boels Verhuur B.V.</x:v>
      </x:c>
      <x:c r="B8" s="33" t="n">
        <x:v>46237.416666666664</x:v>
      </x:c>
      <x:c r="C8" s="27" t="str">
        <x:v>Totaal brand-/diefstalregeling (B)</x:v>
      </x:c>
      <x:c r="D8" s="27" t="str">
        <x:v>overig</x:v>
      </x:c>
      <x:c r="E8" s="27" t="str">
        <x:v>overig</x:v>
      </x:c>
      <x:c r="F8" s="27" t="str">
        <x:v>(niet gekoppeld)</x:v>
      </x:c>
      <x:c r="G8" s="27" t="str">
        <x:v>gereedschap</x:v>
      </x:c>
      <x:c r="H8" s="36" t="n">
        <x:v>0.2</x:v>
      </x:c>
      <x:c r="I8" s="27" t="str">
        <x:v>handmatig beslissen</x:v>
      </x:c>
      <x:c r="J8" s="27" t="str">
        <x:v>Toeslag hoort bij dezelfde gehuurde machine/steiger; eventueel apart als overig.</x:v>
      </x:c>
      <x:c r="K8" s="28" t="str">
        <x:v>7a98b8de-837a-4267-93c3-5ee001a8fda4</x:v>
      </x:c>
    </x:row>
    <x:row r="9">
      <x:c r="A9" s="26" t="str">
        <x:v>Boels Verhuur B.V.</x:v>
      </x:c>
      <x:c r="B9" s="33" t="n">
        <x:v>46237.416666666664</x:v>
      </x:c>
      <x:c r="C9" s="27" t="str">
        <x:v>Totaal schade afkoop (A)</x:v>
      </x:c>
      <x:c r="D9" s="27" t="str">
        <x:v>overig</x:v>
      </x:c>
      <x:c r="E9" s="27" t="str">
        <x:v>overig</x:v>
      </x:c>
      <x:c r="F9" s="27" t="str">
        <x:v>(niet gekoppeld)</x:v>
      </x:c>
      <x:c r="G9" s="27" t="str">
        <x:v>gereedschap</x:v>
      </x:c>
      <x:c r="H9" s="36" t="n">
        <x:v>0.2</x:v>
      </x:c>
      <x:c r="I9" s="27" t="str">
        <x:v>handmatig beslissen</x:v>
      </x:c>
      <x:c r="J9" s="27" t="str">
        <x:v>Toeslag hoort bij dezelfde gehuurde machine/steiger; eventueel apart als overig.</x:v>
      </x:c>
      <x:c r="K9" s="28" t="str">
        <x:v>7a98b8de-837a-4267-93c3-5ee001a8fda4</x:v>
      </x:c>
    </x:row>
    <x:row r="10">
      <x:c r="A10" s="26" t="str">
        <x:v>Boels Verhuur B.V.</x:v>
      </x:c>
      <x:c r="B10" s="33" t="n">
        <x:v>46244.416666666664</x:v>
      </x:c>
      <x:c r="C10" s="27" t="str">
        <x:v>Totaal brand-/diefstalregeling (B)</x:v>
      </x:c>
      <x:c r="D10" s="27" t="str">
        <x:v>overig</x:v>
      </x:c>
      <x:c r="E10" s="27" t="str">
        <x:v>overig</x:v>
      </x:c>
      <x:c r="F10" s="27" t="str">
        <x:v>(niet gekoppeld)</x:v>
      </x:c>
      <x:c r="G10" s="27" t="str">
        <x:v>gereedschap</x:v>
      </x:c>
      <x:c r="H10" s="36" t="n">
        <x:v>0.2</x:v>
      </x:c>
      <x:c r="I10" s="27" t="str">
        <x:v>handmatig beslissen</x:v>
      </x:c>
      <x:c r="J10" s="27" t="str">
        <x:v>Toeslag hoort bij dezelfde gehuurde machine/steiger; eventueel apart als overig.</x:v>
      </x:c>
      <x:c r="K10" s="28" t="str">
        <x:v>0ab44461-bb93-4b0f-9c08-7e90d4940148</x:v>
      </x:c>
    </x:row>
    <x:row r="11">
      <x:c r="A11" s="26" t="str">
        <x:v>Boels Verhuur B.V.</x:v>
      </x:c>
      <x:c r="B11" s="33" t="n">
        <x:v>46244.416666666664</x:v>
      </x:c>
      <x:c r="C11" s="27" t="str">
        <x:v>Totaal schade afkoop (A)</x:v>
      </x:c>
      <x:c r="D11" s="27" t="str">
        <x:v>overig</x:v>
      </x:c>
      <x:c r="E11" s="27" t="str">
        <x:v>overig</x:v>
      </x:c>
      <x:c r="F11" s="27" t="str">
        <x:v>(niet gekoppeld)</x:v>
      </x:c>
      <x:c r="G11" s="27" t="str">
        <x:v>gereedschap</x:v>
      </x:c>
      <x:c r="H11" s="36" t="n">
        <x:v>0.2</x:v>
      </x:c>
      <x:c r="I11" s="27" t="str">
        <x:v>handmatig beslissen</x:v>
      </x:c>
      <x:c r="J11" s="27" t="str">
        <x:v>Toeslag hoort bij dezelfde gehuurde machine/steiger; eventueel apart als overig.</x:v>
      </x:c>
      <x:c r="K11" s="28" t="str">
        <x:v>0ab44461-bb93-4b0f-9c08-7e90d4940148</x:v>
      </x:c>
    </x:row>
    <x:row r="12">
      <x:c r="A12" s="26" t="str">
        <x:v>Bouwcenter RAB</x:v>
      </x:c>
      <x:c r="B12" s="33" t="n">
        <x:v>46202.416666666664</x:v>
      </x:c>
      <x:c r="C12" s="27" t="str">
        <x:v>MASCOT Complete Kampala riem (zwart)</x:v>
      </x:c>
      <x:c r="D12" s="27" t="str">
        <x:v>gereedschap</x:v>
      </x:c>
      <x:c r="E12" s="27" t="str">
        <x:v>gereedschap</x:v>
      </x:c>
      <x:c r="F12" s="27" t="str">
        <x:v>overig</x:v>
      </x:c>
      <x:c r="G12" s="27" t="str">
        <x:v>gereedschap of eigen_verbruik</x:v>
      </x:c>
      <x:c r="H12" s="36" t="n">
        <x:v>0.7</x:v>
      </x:c>
      <x:c r="I12" s="27" t="str">
        <x:v>handmatig beslissen</x:v>
      </x:c>
      <x:c r="J12" s="27" t="str">
        <x:v>Werkkleding/accessoire heeft geen eigen categorie.</x:v>
      </x:c>
      <x:c r="K12" s="28" t="str">
        <x:v>4207e98a-e9b5-429c-94d7-c6bfdfa41b7a</x:v>
      </x:c>
    </x:row>
    <x:row r="13">
      <x:c r="A13" s="26" t="str">
        <x:v>bouwmaat</x:v>
      </x:c>
      <x:c r="B13" s="33" t="n">
        <x:v>46218.416666666664</x:v>
      </x:c>
      <x:c r="C13" s="27" t="str">
        <x:v>(geen productomschrijving)</x:v>
      </x:c>
      <x:c r="D13" s="27" t="str">
        <x:v>materiaal</x:v>
      </x:c>
      <x:c r="E13" s="27" t="str">
        <x:v>materiaal</x:v>
      </x:c>
      <x:c r="F13" s="27" t="str">
        <x:v>overig</x:v>
      </x:c>
      <x:c r="G13" s="27" t="str">
        <x:v>document/productregels controleren</x:v>
      </x:c>
      <x:c r="H13" s="36" t="n">
        <x:v>0.6</x:v>
      </x:c>
      <x:c r="I13" s="27" t="str">
        <x:v>onvoldoende informatie</x:v>
      </x:c>
      <x:c r="J13" s="27" t="str">
        <x:v>Omschrijving is te algemeen of leeg voor 98% zekerheid.</x:v>
      </x:c>
      <x:c r="K13" s="28" t="str">
        <x:v>f7d76cd6-c0b5-4d2f-97e6-f2a67cdf54e6</x:v>
      </x:c>
    </x:row>
    <x:row r="14">
      <x:c r="A14" s="26" t="str">
        <x:v>Bouwmaat</x:v>
      </x:c>
      <x:c r="B14" s="33" t="n">
        <x:v>46216.416666666664</x:v>
      </x:c>
      <x:c r="C14" s="27" t="str">
        <x:v>LEGO 42226 BMW M4 GT3 EVO Racewagen</x:v>
      </x:c>
      <x:c r="D14" s="27" t="str">
        <x:v>overig</x:v>
      </x:c>
      <x:c r="E14" s="27" t="str">
        <x:v>materiaal</x:v>
      </x:c>
      <x:c r="F14" s="27" t="str">
        <x:v>overig</x:v>
      </x:c>
      <x:c r="G14" s="27" t="str">
        <x:v>eigen_verbruik</x:v>
      </x:c>
      <x:c r="H14" s="36" t="n">
        <x:v>0.05</x:v>
      </x:c>
      <x:c r="I14" s="27" t="str">
        <x:v>waarschijnlijk fout</x:v>
      </x:c>
      <x:c r="J14" s="27" t="str">
        <x:v>Eten, drinken of privéartikel; geen bouwmateriaal/gereedschap.</x:v>
      </x:c>
      <x:c r="K14" s="28" t="str">
        <x:v>28912bca-64eb-4236-a789-623926342070</x:v>
      </x:c>
    </x:row>
    <x:row r="15">
      <x:c r="A15" s="26" t="str">
        <x:v>Bouwmaat</x:v>
      </x:c>
      <x:c r="B15" s="33" t="n">
        <x:v>46216.416666666664</x:v>
      </x:c>
      <x:c r="C15" s="27" t="str">
        <x:v>statiegeld</x:v>
      </x:c>
      <x:c r="D15" s="27" t="str">
        <x:v>materiaal</x:v>
      </x:c>
      <x:c r="E15" s="27" t="str">
        <x:v>materiaal</x:v>
      </x:c>
      <x:c r="F15" s="27" t="str">
        <x:v>overig</x:v>
      </x:c>
      <x:c r="G15" s="27" t="str">
        <x:v>retourwaarborg / geen definitieve kosten</x:v>
      </x:c>
      <x:c r="H15" s="36" t="n">
        <x:v>0.55</x:v>
      </x:c>
      <x:c r="I15" s="27" t="str">
        <x:v>handmatig beslissen</x:v>
      </x:c>
      <x:c r="J15" s="27" t="str">
        <x:v>Statiegeld is terugvorderbaar en mogelijk geen definitieve kostenpost.</x:v>
      </x:c>
      <x:c r="K15" s="28" t="str">
        <x:v>21b0e43a-501e-491c-9bce-d5b2960e3457</x:v>
      </x:c>
    </x:row>
    <x:row r="16">
      <x:c r="A16" s="26" t="str">
        <x:v>Bouwmaat</x:v>
      </x:c>
      <x:c r="B16" s="33" t="n">
        <x:v>46216.416666666664</x:v>
      </x:c>
      <x:c r="C16" s="27" t="str">
        <x:v>Statiegeld bezorg/afhaalpallet</x:v>
      </x:c>
      <x:c r="D16" s="27" t="str">
        <x:v>overig</x:v>
      </x:c>
      <x:c r="E16" s="27" t="str">
        <x:v>materiaal</x:v>
      </x:c>
      <x:c r="F16" s="27" t="str">
        <x:v>overig</x:v>
      </x:c>
      <x:c r="G16" s="27" t="str">
        <x:v>retourwaarborg / geen definitieve kosten</x:v>
      </x:c>
      <x:c r="H16" s="36" t="n">
        <x:v>0.55</x:v>
      </x:c>
      <x:c r="I16" s="27" t="str">
        <x:v>handmatig beslissen</x:v>
      </x:c>
      <x:c r="J16" s="27" t="str">
        <x:v>Statiegeld is terugvorderbaar en mogelijk geen definitieve kostenpost.</x:v>
      </x:c>
      <x:c r="K16" s="28" t="str">
        <x:v>28912bca-64eb-4236-a789-623926342070</x:v>
      </x:c>
    </x:row>
    <x:row r="17">
      <x:c r="A17" s="26" t="str">
        <x:v>Bouwmaat</x:v>
      </x:c>
      <x:c r="B17" s="33" t="n">
        <x:v>46245.416666666664</x:v>
      </x:c>
      <x:c r="C17" s="27" t="str">
        <x:v>Bouwmaat materialen volgens factuur 1000VF003448139</x:v>
      </x:c>
      <x:c r="D17" s="27" t="str">
        <x:v>materiaal</x:v>
      </x:c>
      <x:c r="E17" s="27" t="str">
        <x:v>materiaal</x:v>
      </x:c>
      <x:c r="F17" s="27" t="str">
        <x:v>overig</x:v>
      </x:c>
      <x:c r="G17" s="27" t="str">
        <x:v>document/productregels controleren</x:v>
      </x:c>
      <x:c r="H17" s="36" t="n">
        <x:v>0.6</x:v>
      </x:c>
      <x:c r="I17" s="27" t="str">
        <x:v>onvoldoende informatie</x:v>
      </x:c>
      <x:c r="J17" s="27" t="str">
        <x:v>Omschrijving is te algemeen of leeg voor 98% zekerheid.</x:v>
      </x:c>
      <x:c r="K17" s="28" t="str">
        <x:v>4d4067ab-41a3-40d8-9b00-ec22d310def1</x:v>
      </x:c>
    </x:row>
    <x:row r="18">
      <x:c r="A18" s="26" t="str">
        <x:v>Bouwmaat Alkmaar</x:v>
      </x:c>
      <x:c r="B18" s="33" t="n">
        <x:v>46202.416666666664</x:v>
      </x:c>
      <x:c r="C18" s="27" t="str">
        <x:v>diverse materialen</x:v>
      </x:c>
      <x:c r="D18" s="27" t="str">
        <x:v>materiaal</x:v>
      </x:c>
      <x:c r="E18" s="27" t="str">
        <x:v>eigen_verbruik</x:v>
      </x:c>
      <x:c r="F18" s="27" t="str">
        <x:v>overig</x:v>
      </x:c>
      <x:c r="G18" s="27" t="str">
        <x:v>document/productregels controleren</x:v>
      </x:c>
      <x:c r="H18" s="36" t="n">
        <x:v>0.6</x:v>
      </x:c>
      <x:c r="I18" s="27" t="str">
        <x:v>onvoldoende informatie</x:v>
      </x:c>
      <x:c r="J18" s="27" t="str">
        <x:v>Omschrijving is te algemeen of leeg voor 98% zekerheid.</x:v>
      </x:c>
      <x:c r="K18" s="28" t="str">
        <x:v>2ce6e947-b9a9-4a8f-9ffe-e14d36801b35</x:v>
      </x:c>
    </x:row>
    <x:row r="19">
      <x:c r="A19" s="26" t="str">
        <x:v>Bouwmaat Alkmaar</x:v>
      </x:c>
      <x:c r="B19" s="33" t="n">
        <x:v>46202.416666666664</x:v>
      </x:c>
      <x:c r="C19" s="27" t="str">
        <x:v>Eigen verbruik - Bouwmaat Alkmaar</x:v>
      </x:c>
      <x:c r="D19" s="27" t="str">
        <x:v>gereedschap</x:v>
      </x:c>
      <x:c r="E19" s="27" t="str">
        <x:v>eigen_verbruik</x:v>
      </x:c>
      <x:c r="F19" s="27" t="str">
        <x:v>overig</x:v>
      </x:c>
      <x:c r="G19" s="27" t="str">
        <x:v>document/productregels controleren</x:v>
      </x:c>
      <x:c r="H19" s="36" t="n">
        <x:v>0.6</x:v>
      </x:c>
      <x:c r="I19" s="27" t="str">
        <x:v>onvoldoende informatie</x:v>
      </x:c>
      <x:c r="J19" s="27" t="str">
        <x:v>Omschrijving is te algemeen of leeg voor 98% zekerheid.</x:v>
      </x:c>
      <x:c r="K19" s="28" t="str">
        <x:v>2ce6e947-b9a9-4a8f-9ffe-e14d36801b35</x:v>
      </x:c>
    </x:row>
    <x:row r="20">
      <x:c r="A20" s="26" t="str">
        <x:v>Bouwmaat Alkmaar</x:v>
      </x:c>
      <x:c r="B20" s="33" t="n">
        <x:v>46206.416666666664</x:v>
      </x:c>
      <x:c r="C20" s="27" t="str">
        <x:v>Bouwmaat Uitvulplaat Blauw 4mm 48st</x:v>
      </x:c>
      <x:c r="D20" s="27" t="str">
        <x:v>gereedschap</x:v>
      </x:c>
      <x:c r="E20" s="27" t="str">
        <x:v>gereedschap</x:v>
      </x:c>
      <x:c r="F20" s="27" t="str">
        <x:v>overig</x:v>
      </x:c>
      <x:c r="G20" s="27" t="str">
        <x:v>materiaal</x:v>
      </x:c>
      <x:c r="H20" s="36" t="n">
        <x:v>0.03</x:v>
      </x:c>
      <x:c r="I20" s="27" t="str">
        <x:v>waarschijnlijk fout</x:v>
      </x:c>
      <x:c r="J20" s="27" t="str">
        <x:v>Verbruikbaar montage-/stelmateriaal.</x:v>
      </x:c>
      <x:c r="K20" s="28" t="str">
        <x:v>fb6c5007-298d-410d-9ce2-f75d7fcfaa5c</x:v>
      </x:c>
    </x:row>
    <x:row r="21">
      <x:c r="A21" s="26" t="str">
        <x:v>Bouwmaat Alkmaar</x:v>
      </x:c>
      <x:c r="B21" s="33" t="n">
        <x:v>46206.416666666664</x:v>
      </x:c>
      <x:c r="C21" s="27" t="str">
        <x:v>Bouwmaat Uitvulplaat Rood 5mm 48st</x:v>
      </x:c>
      <x:c r="D21" s="27" t="str">
        <x:v>gereedschap</x:v>
      </x:c>
      <x:c r="E21" s="27" t="str">
        <x:v>gereedschap</x:v>
      </x:c>
      <x:c r="F21" s="27" t="str">
        <x:v>overig</x:v>
      </x:c>
      <x:c r="G21" s="27" t="str">
        <x:v>materiaal</x:v>
      </x:c>
      <x:c r="H21" s="36" t="n">
        <x:v>0.03</x:v>
      </x:c>
      <x:c r="I21" s="27" t="str">
        <x:v>waarschijnlijk fout</x:v>
      </x:c>
      <x:c r="J21" s="27" t="str">
        <x:v>Verbruikbaar montage-/stelmateriaal.</x:v>
      </x:c>
      <x:c r="K21" s="28" t="str">
        <x:v>fb6c5007-298d-410d-9ce2-f75d7fcfaa5c</x:v>
      </x:c>
    </x:row>
    <x:row r="22">
      <x:c r="A22" s="26" t="str">
        <x:v>Bouwmaat Alkmaar</x:v>
      </x:c>
      <x:c r="B22" s="33" t="n">
        <x:v>46206.416666666664</x:v>
      </x:c>
      <x:c r="C22" s="27" t="str">
        <x:v>Bouwmaat Uitvulplaat Wit 1mm 96st</x:v>
      </x:c>
      <x:c r="D22" s="27" t="str">
        <x:v>gereedschap</x:v>
      </x:c>
      <x:c r="E22" s="27" t="str">
        <x:v>gereedschap</x:v>
      </x:c>
      <x:c r="F22" s="27" t="str">
        <x:v>overig</x:v>
      </x:c>
      <x:c r="G22" s="27" t="str">
        <x:v>materiaal</x:v>
      </x:c>
      <x:c r="H22" s="36" t="n">
        <x:v>0.03</x:v>
      </x:c>
      <x:c r="I22" s="27" t="str">
        <x:v>waarschijnlijk fout</x:v>
      </x:c>
      <x:c r="J22" s="27" t="str">
        <x:v>Verbruikbaar montage-/stelmateriaal.</x:v>
      </x:c>
      <x:c r="K22" s="28" t="str">
        <x:v>fb6c5007-298d-410d-9ce2-f75d7fcfaa5c</x:v>
      </x:c>
    </x:row>
    <x:row r="23">
      <x:c r="A23" s="26" t="str">
        <x:v>Bouwmaat Alkmaar</x:v>
      </x:c>
      <x:c r="B23" s="33" t="n">
        <x:v>46206.416666666664</x:v>
      </x:c>
      <x:c r="C23" s="27" t="str">
        <x:v>Bouwmaat Uitvulplaat Zwart 3mm 48st</x:v>
      </x:c>
      <x:c r="D23" s="27" t="str">
        <x:v>gereedschap</x:v>
      </x:c>
      <x:c r="E23" s="27" t="str">
        <x:v>gereedschap</x:v>
      </x:c>
      <x:c r="F23" s="27" t="str">
        <x:v>overig</x:v>
      </x:c>
      <x:c r="G23" s="27" t="str">
        <x:v>materiaal</x:v>
      </x:c>
      <x:c r="H23" s="36" t="n">
        <x:v>0.03</x:v>
      </x:c>
      <x:c r="I23" s="27" t="str">
        <x:v>waarschijnlijk fout</x:v>
      </x:c>
      <x:c r="J23" s="27" t="str">
        <x:v>Verbruikbaar montage-/stelmateriaal.</x:v>
      </x:c>
      <x:c r="K23" s="28" t="str">
        <x:v>fb6c5007-298d-410d-9ce2-f75d7fcfaa5c</x:v>
      </x:c>
    </x:row>
    <x:row r="24">
      <x:c r="A24" s="26" t="str">
        <x:v>Bouwmaat Amersfoort</x:v>
      </x:c>
      <x:c r="B24" s="33" t="n">
        <x:v>46213.416666666664</x:v>
      </x:c>
      <x:c r="C24" s="27" t="str">
        <x:v>Bouwmaat Reinigingsdoekjes 80st</x:v>
      </x:c>
      <x:c r="D24" s="27" t="str">
        <x:v>gereedschap</x:v>
      </x:c>
      <x:c r="E24" s="27" t="str">
        <x:v>gereedschap</x:v>
      </x:c>
      <x:c r="F24" s="27" t="str">
        <x:v>overig</x:v>
      </x:c>
      <x:c r="G24" s="27" t="str">
        <x:v>materiaal of gereedschap</x:v>
      </x:c>
      <x:c r="H24" s="36" t="n">
        <x:v>0.65</x:v>
      </x:c>
      <x:c r="I24" s="27" t="str">
        <x:v>handmatig beslissen</x:v>
      </x:c>
      <x:c r="J24" s="27" t="str">
        <x:v>Verbruiksmiddel; categorisatiebeleid is niet eenduidig.</x:v>
      </x:c>
      <x:c r="K24" s="28" t="str">
        <x:v>6a06386e-2027-41f0-b43a-d4c212ef64ab</x:v>
      </x:c>
    </x:row>
    <x:row r="25">
      <x:c r="A25" s="26" t="str">
        <x:v>Bouwmaat Amstel</x:v>
      </x:c>
      <x:c r="B25" s="33" t="n">
        <x:v>46237.416666666664</x:v>
      </x:c>
      <x:c r="C25" s="27" t="str">
        <x:v>Algemene materialen</x:v>
      </x:c>
      <x:c r="D25" s="27" t="str">
        <x:v>materiaal</x:v>
      </x:c>
      <x:c r="E25" s="27" t="str">
        <x:v>materiaal</x:v>
      </x:c>
      <x:c r="F25" s="27" t="str">
        <x:v>overig</x:v>
      </x:c>
      <x:c r="G25" s="27" t="str">
        <x:v>document/productregels controleren</x:v>
      </x:c>
      <x:c r="H25" s="36" t="n">
        <x:v>0.6</x:v>
      </x:c>
      <x:c r="I25" s="27" t="str">
        <x:v>onvoldoende informatie</x:v>
      </x:c>
      <x:c r="J25" s="27" t="str">
        <x:v>Omschrijving is te algemeen of leeg voor 98% zekerheid.</x:v>
      </x:c>
      <x:c r="K25" s="28" t="str">
        <x:v>63f7e676-aa32-427b-88d7-62648ea5855a</x:v>
      </x:c>
    </x:row>
    <x:row r="26">
      <x:c r="A26" s="26" t="str">
        <x:v>Bouwmaat Amsterdam Amstel XL</x:v>
      </x:c>
      <x:c r="B26" s="33" t="n">
        <x:v>46234.416666666664</x:v>
      </x:c>
      <x:c r="C26" s="27" t="str">
        <x:v>Inzetbak tbv Verfbak Grijs 24x32cm 5st</x:v>
      </x:c>
      <x:c r="D26" s="27" t="str">
        <x:v>materiaal</x:v>
      </x:c>
      <x:c r="E26" s="27" t="str">
        <x:v>materiaal</x:v>
      </x:c>
      <x:c r="F26" s="27" t="str">
        <x:v>overig</x:v>
      </x:c>
      <x:c r="G26" s="27" t="str">
        <x:v>gereedschap</x:v>
      </x:c>
      <x:c r="H26" s="36" t="n">
        <x:v>0.03</x:v>
      </x:c>
      <x:c r="I26" s="27" t="str">
        <x:v>waarschijnlijk fout</x:v>
      </x:c>
      <x:c r="J26" s="27" t="str">
        <x:v>Herbruikbaar handgereedschap of schildersgereedschap.</x:v>
      </x:c>
      <x:c r="K26" s="28" t="str">
        <x:v>e3c32ffe-91fa-4e9d-9b2d-3313ee46a50b</x:v>
      </x:c>
    </x:row>
    <x:row r="27">
      <x:c r="A27" s="26" t="str">
        <x:v>Bouwmaat Amsterdam Amstel XL</x:v>
      </x:c>
      <x:c r="B27" s="33" t="n">
        <x:v>46234.416666666664</x:v>
      </x:c>
      <x:c r="C27" s="27" t="str">
        <x:v>Makita Red Velcro Schuurvel K180 114x102mm 10st</x:v>
      </x:c>
      <x:c r="D27" s="27" t="str">
        <x:v>materiaal</x:v>
      </x:c>
      <x:c r="E27" s="27" t="str">
        <x:v>materiaal</x:v>
      </x:c>
      <x:c r="F27" s="27" t="str">
        <x:v>overig</x:v>
      </x:c>
      <x:c r="G27" s="27" t="str">
        <x:v>gereedschap</x:v>
      </x:c>
      <x:c r="H27" s="36" t="n">
        <x:v>0.3</x:v>
      </x:c>
      <x:c r="I27" s="27" t="str">
        <x:v>handmatig beslissen</x:v>
      </x:c>
      <x:c r="J27" s="27" t="str">
        <x:v>Schuurmiddel/accessoire; beleid kan ook verbruiksmateriaal zijn.</x:v>
      </x:c>
      <x:c r="K27" s="28" t="str">
        <x:v>e3c32ffe-91fa-4e9d-9b2d-3313ee46a50b</x:v>
      </x:c>
    </x:row>
    <x:row r="28">
      <x:c r="A28" s="26" t="str">
        <x:v>Bouwmaat Amsterdam B.V.</x:v>
      </x:c>
      <x:c r="B28" s="33" t="n">
        <x:v>46239.416666666664</x:v>
      </x:c>
      <x:c r="C28" s="27" t="str">
        <x:v>Statiegeld bezorg/afhaalpallet</x:v>
      </x:c>
      <x:c r="D28" s="27" t="str">
        <x:v>materiaal</x:v>
      </x:c>
      <x:c r="E28" s="27" t="str">
        <x:v>materiaal</x:v>
      </x:c>
      <x:c r="F28" s="27" t="str">
        <x:v>(niet gekoppeld)</x:v>
      </x:c>
      <x:c r="G28" s="27" t="str">
        <x:v>retourwaarborg / geen definitieve kosten</x:v>
      </x:c>
      <x:c r="H28" s="36" t="n">
        <x:v>0.55</x:v>
      </x:c>
      <x:c r="I28" s="27" t="str">
        <x:v>handmatig beslissen</x:v>
      </x:c>
      <x:c r="J28" s="27" t="str">
        <x:v>Statiegeld is terugvorderbaar en mogelijk geen definitieve kostenpost.</x:v>
      </x:c>
      <x:c r="K28" s="28" t="str">
        <x:v>cf3e6e08-c7d1-4cfc-96de-9f288ffd574d</x:v>
      </x:c>
    </x:row>
    <x:row r="29">
      <x:c r="A29" s="26" t="str">
        <x:v>Bouwmaat Haarlem XL</x:v>
      </x:c>
      <x:c r="B29" s="33" t="n">
        <x:v>46204.416666666664</x:v>
      </x:c>
      <x:c r="C29" s="27" t="str">
        <x:v>Carpoint Spanbanden 2,5m 2stuks</x:v>
      </x:c>
      <x:c r="D29" s="27" t="str">
        <x:v>gereedschap</x:v>
      </x:c>
      <x:c r="E29" s="27" t="str">
        <x:v>gereedschap</x:v>
      </x:c>
      <x:c r="F29" s="27" t="str">
        <x:v>overig</x:v>
      </x:c>
      <x:c r="G29" s="27" t="str">
        <x:v>gereedschap of autokosten</x:v>
      </x:c>
      <x:c r="H29" s="36" t="n">
        <x:v>0.65</x:v>
      </x:c>
      <x:c r="I29" s="27" t="str">
        <x:v>handmatig beslissen</x:v>
      </x:c>
      <x:c r="J29" s="27" t="str">
        <x:v>Kan werkmaterieel zijn of vast voertuigtoebehoren.</x:v>
      </x:c>
      <x:c r="K29" s="28" t="str">
        <x:v>a60ab592-c3ab-4206-8b3c-62468be8ae0d</x:v>
      </x:c>
    </x:row>
    <x:row r="30">
      <x:c r="A30" s="26" t="str">
        <x:v>Bouwmaat Haarlem XL</x:v>
      </x:c>
      <x:c r="B30" s="33" t="n">
        <x:v>46207.416666666664</x:v>
      </x:c>
      <x:c r="C30" s="27" t="str">
        <x:v>Bouwmaat Reinigingsdoekjes 80st</x:v>
      </x:c>
      <x:c r="D30" s="27" t="str">
        <x:v>gereedschap</x:v>
      </x:c>
      <x:c r="E30" s="27" t="str">
        <x:v>gereedschap</x:v>
      </x:c>
      <x:c r="F30" s="27" t="str">
        <x:v>overig</x:v>
      </x:c>
      <x:c r="G30" s="27" t="str">
        <x:v>materiaal of gereedschap</x:v>
      </x:c>
      <x:c r="H30" s="36" t="n">
        <x:v>0.65</x:v>
      </x:c>
      <x:c r="I30" s="27" t="str">
        <x:v>handmatig beslissen</x:v>
      </x:c>
      <x:c r="J30" s="27" t="str">
        <x:v>Verbruiksmiddel; categorisatiebeleid is niet eenduidig.</x:v>
      </x:c>
      <x:c r="K30" s="28" t="str">
        <x:v>4904f1e9-917e-4091-b4af-66b89e18a659</x:v>
      </x:c>
    </x:row>
    <x:row r="31">
      <x:c r="A31" s="26" t="str">
        <x:v>Bouwmaat Huizen B.V.</x:v>
      </x:c>
      <x:c r="B31" s="33" t="n">
        <x:v>46254.416666666664</x:v>
      </x:c>
      <x:c r="C31" s="27" t="str">
        <x:v>Douwe Egberts Koffie Snelfiltermaling, 500 gr</x:v>
      </x:c>
      <x:c r="D31" s="27" t="str">
        <x:v>overig</x:v>
      </x:c>
      <x:c r="E31" s="27" t="str">
        <x:v>overig</x:v>
      </x:c>
      <x:c r="F31" s="27" t="str">
        <x:v>(niet gekoppeld)</x:v>
      </x:c>
      <x:c r="G31" s="27" t="str">
        <x:v>eigen_verbruik</x:v>
      </x:c>
      <x:c r="H31" s="36" t="n">
        <x:v>0.05</x:v>
      </x:c>
      <x:c r="I31" s="27" t="str">
        <x:v>waarschijnlijk fout</x:v>
      </x:c>
      <x:c r="J31" s="27" t="str">
        <x:v>Eten, drinken of privéartikel; geen bouwmateriaal/gereedschap.</x:v>
      </x:c>
      <x:c r="K31" s="28" t="str">
        <x:v>48935a77-e48b-4ed6-b397-a7c43294778e</x:v>
      </x:c>
    </x:row>
    <x:row r="32">
      <x:c r="A32" s="26" t="str">
        <x:v>Bouwmaat Huizen B.V.</x:v>
      </x:c>
      <x:c r="B32" s="33" t="n">
        <x:v>46255.416666666664</x:v>
      </x:c>
      <x:c r="C32" s="27" t="str">
        <x:v>Bostik Maatemmer 10L</x:v>
      </x:c>
      <x:c r="D32" s="27" t="str">
        <x:v>materiaal</x:v>
      </x:c>
      <x:c r="E32" s="27" t="str">
        <x:v>materiaal</x:v>
      </x:c>
      <x:c r="F32" s="27" t="str">
        <x:v>(niet gekoppeld)</x:v>
      </x:c>
      <x:c r="G32" s="27" t="str">
        <x:v>gereedschap</x:v>
      </x:c>
      <x:c r="H32" s="36" t="n">
        <x:v>0.03</x:v>
      </x:c>
      <x:c r="I32" s="27" t="str">
        <x:v>waarschijnlijk fout</x:v>
      </x:c>
      <x:c r="J32" s="27" t="str">
        <x:v>Herbruikbaar handgereedschap of schildersgereedschap.</x:v>
      </x:c>
      <x:c r="K32" s="28" t="str">
        <x:v>6902de15-8d02-4c21-95d8-97c3dbd11e0a</x:v>
      </x:c>
    </x:row>
    <x:row r="33">
      <x:c r="A33" s="26" t="str">
        <x:v>Bouwmaat Huizen B.V.</x:v>
      </x:c>
      <x:c r="B33" s="33" t="n">
        <x:v>46255.416666666664</x:v>
      </x:c>
      <x:c r="C33" s="27" t="str">
        <x:v>Vero Bezemsteel Hout 1500x28mm</x:v>
      </x:c>
      <x:c r="D33" s="27" t="str">
        <x:v>materiaal</x:v>
      </x:c>
      <x:c r="E33" s="27" t="str">
        <x:v>materiaal</x:v>
      </x:c>
      <x:c r="F33" s="27" t="str">
        <x:v>(niet gekoppeld)</x:v>
      </x:c>
      <x:c r="G33" s="27" t="str">
        <x:v>gereedschap</x:v>
      </x:c>
      <x:c r="H33" s="36" t="n">
        <x:v>0.03</x:v>
      </x:c>
      <x:c r="I33" s="27" t="str">
        <x:v>waarschijnlijk fout</x:v>
      </x:c>
      <x:c r="J33" s="27" t="str">
        <x:v>Herbruikbaar handgereedschap of schildersgereedschap.</x:v>
      </x:c>
      <x:c r="K33" s="28" t="str">
        <x:v>6902de15-8d02-4c21-95d8-97c3dbd11e0a</x:v>
      </x:c>
    </x:row>
    <x:row r="34">
      <x:c r="A34" s="26" t="str">
        <x:v>Bouwmaat Huizen B.V.</x:v>
      </x:c>
      <x:c r="B34" s="33" t="n">
        <x:v>46255.416666666664</x:v>
      </x:c>
      <x:c r="C34" s="27" t="str">
        <x:v>Vero Bouwstoffer 1321 hout met cocos vezels</x:v>
      </x:c>
      <x:c r="D34" s="27" t="str">
        <x:v>materiaal</x:v>
      </x:c>
      <x:c r="E34" s="27" t="str">
        <x:v>materiaal</x:v>
      </x:c>
      <x:c r="F34" s="27" t="str">
        <x:v>(niet gekoppeld)</x:v>
      </x:c>
      <x:c r="G34" s="27" t="str">
        <x:v>gereedschap</x:v>
      </x:c>
      <x:c r="H34" s="36" t="n">
        <x:v>0.03</x:v>
      </x:c>
      <x:c r="I34" s="27" t="str">
        <x:v>waarschijnlijk fout</x:v>
      </x:c>
      <x:c r="J34" s="27" t="str">
        <x:v>Herbruikbaar handgereedschap of schildersgereedschap.</x:v>
      </x:c>
      <x:c r="K34" s="28" t="str">
        <x:v>6902de15-8d02-4c21-95d8-97c3dbd11e0a</x:v>
      </x:c>
    </x:row>
    <x:row r="35">
      <x:c r="A35" s="26" t="str">
        <x:v>Bouwmaat Huizen B.V.</x:v>
      </x:c>
      <x:c r="B35" s="33" t="n">
        <x:v>46255.416666666664</x:v>
      </x:c>
      <x:c r="C35" s="27" t="str">
        <x:v>Vero Outdoor Bezem hout kokos lengte: 40 cm</x:v>
      </x:c>
      <x:c r="D35" s="27" t="str">
        <x:v>materiaal</x:v>
      </x:c>
      <x:c r="E35" s="27" t="str">
        <x:v>materiaal</x:v>
      </x:c>
      <x:c r="F35" s="27" t="str">
        <x:v>(niet gekoppeld)</x:v>
      </x:c>
      <x:c r="G35" s="27" t="str">
        <x:v>gereedschap</x:v>
      </x:c>
      <x:c r="H35" s="36" t="n">
        <x:v>0.03</x:v>
      </x:c>
      <x:c r="I35" s="27" t="str">
        <x:v>waarschijnlijk fout</x:v>
      </x:c>
      <x:c r="J35" s="27" t="str">
        <x:v>Herbruikbaar handgereedschap of schildersgereedschap.</x:v>
      </x:c>
      <x:c r="K35" s="28" t="str">
        <x:v>6902de15-8d02-4c21-95d8-97c3dbd11e0a</x:v>
      </x:c>
    </x:row>
    <x:row r="36">
      <x:c r="A36" s="26" t="str">
        <x:v>Bouwmaat Sloterdijk</x:v>
      </x:c>
      <x:c r="B36" s="33" t="n">
        <x:v>46228.416666666664</x:v>
      </x:c>
      <x:c r="C36" s="27" t="str">
        <x:v>Bouwmaat factuur 1233192 – diverse bouwmaterialen en toeslagen</x:v>
      </x:c>
      <x:c r="D36" s="27" t="str">
        <x:v>materiaal</x:v>
      </x:c>
      <x:c r="E36" s="27" t="str">
        <x:v>materiaal</x:v>
      </x:c>
      <x:c r="F36" s="27" t="str">
        <x:v>overig</x:v>
      </x:c>
      <x:c r="G36" s="27" t="str">
        <x:v>document/productregels controleren</x:v>
      </x:c>
      <x:c r="H36" s="36" t="n">
        <x:v>0.6</x:v>
      </x:c>
      <x:c r="I36" s="27" t="str">
        <x:v>onvoldoende informatie</x:v>
      </x:c>
      <x:c r="J36" s="27" t="str">
        <x:v>Omschrijving is te algemeen of leeg voor 98% zekerheid.</x:v>
      </x:c>
      <x:c r="K36" s="28" t="str">
        <x:v>da12cbed-d46e-417c-bae2-621cd20299c6</x:v>
      </x:c>
    </x:row>
    <x:row r="37">
      <x:c r="A37" s="26" t="str">
        <x:v>Derdengelden Bouwmaat</x:v>
      </x:c>
      <x:c r="B37" s="33" t="n">
        <x:v>46248.416666666664</x:v>
      </x:c>
      <x:c r="C37" s="27" t="str">
        <x:v>Algemene materialen</x:v>
      </x:c>
      <x:c r="D37" s="27" t="str">
        <x:v>materiaal</x:v>
      </x:c>
      <x:c r="E37" s="27" t="str">
        <x:v>materiaal</x:v>
      </x:c>
      <x:c r="F37" s="27" t="str">
        <x:v>overig</x:v>
      </x:c>
      <x:c r="G37" s="27" t="str">
        <x:v>document/productregels controleren</x:v>
      </x:c>
      <x:c r="H37" s="36" t="n">
        <x:v>0.6</x:v>
      </x:c>
      <x:c r="I37" s="27" t="str">
        <x:v>onvoldoende informatie</x:v>
      </x:c>
      <x:c r="J37" s="27" t="str">
        <x:v>Omschrijving is te algemeen of leeg voor 98% zekerheid.</x:v>
      </x:c>
      <x:c r="K37" s="28" t="str">
        <x:v>6e0b60ad-42ad-4076-b6c1-f80c3cbf3d08</x:v>
      </x:c>
    </x:row>
    <x:row r="38">
      <x:c r="A38" s="26" t="str">
        <x:v>Derks Lease</x:v>
      </x:c>
      <x:c r="B38" s="33" t="n">
        <x:v>46254.416666666664</x:v>
      </x:c>
      <x:c r="C38" s="27" t="str">
        <x:v>Administratiekosten boete (kenmerk 5062542283801331)</x:v>
      </x:c>
      <x:c r="D38" s="27" t="str">
        <x:v>overig</x:v>
      </x:c>
      <x:c r="E38" s="27" t="str">
        <x:v>boetes</x:v>
      </x:c>
      <x:c r="F38" s="27" t="str">
        <x:v>(niet gekoppeld)</x:v>
      </x:c>
      <x:c r="G38" s="27" t="str">
        <x:v>boetes</x:v>
      </x:c>
      <x:c r="H38" s="36" t="n">
        <x:v>0.01</x:v>
      </x:c>
      <x:c r="I38" s="27" t="str">
        <x:v>waarschijnlijk fout</x:v>
      </x:c>
      <x:c r="J38" s="27" t="str">
        <x:v>Boete of directe administratiekosten van een boete.</x:v>
      </x:c>
      <x:c r="K38" s="28" t="str">
        <x:v>84e2e8c3-c202-4893-a2af-58ef6c513111</x:v>
      </x:c>
    </x:row>
    <x:row r="39">
      <x:c r="A39" s="26" t="str">
        <x:v>Derks Lease</x:v>
      </x:c>
      <x:c r="B39" s="33" t="n">
        <x:v>46254.416666666664</x:v>
      </x:c>
      <x:c r="C39" s="27" t="str">
        <x:v>Verkeersboete CJIB (kenmerk 5062542283801331) – 13 km/u te hard op autosnelweg buiten bebouwde kom (A10 Links tussen Coentunnel en de Nieuwe Meer)</x:v>
      </x:c>
      <x:c r="D39" s="27" t="str">
        <x:v>overig</x:v>
      </x:c>
      <x:c r="E39" s="27" t="str">
        <x:v>boetes</x:v>
      </x:c>
      <x:c r="F39" s="27" t="str">
        <x:v>(niet gekoppeld)</x:v>
      </x:c>
      <x:c r="G39" s="27" t="str">
        <x:v>boetes</x:v>
      </x:c>
      <x:c r="H39" s="36" t="n">
        <x:v>0.01</x:v>
      </x:c>
      <x:c r="I39" s="27" t="str">
        <x:v>waarschijnlijk fout</x:v>
      </x:c>
      <x:c r="J39" s="27" t="str">
        <x:v>Boete of directe administratiekosten van een boete.</x:v>
      </x:c>
      <x:c r="K39" s="28" t="str">
        <x:v>84e2e8c3-c202-4893-a2af-58ef6c513111</x:v>
      </x:c>
    </x:row>
    <x:row r="40">
      <x:c r="A40" s="26" t="str">
        <x:v>Derks Lease B.V.</x:v>
      </x:c>
      <x:c r="B40" s="33" t="n">
        <x:v>46218.416666666664</x:v>
      </x:c>
      <x:c r="C40" s="27" t="str">
        <x:v>Factuurregel</x:v>
      </x:c>
      <x:c r="D40" s="27" t="str">
        <x:v>boetes</x:v>
      </x:c>
      <x:c r="E40" s="27" t="str">
        <x:v>boetes</x:v>
      </x:c>
      <x:c r="F40" s="27" t="str">
        <x:v>overig</x:v>
      </x:c>
      <x:c r="G40" s="27" t="str">
        <x:v>boetes (document controleren)</x:v>
      </x:c>
      <x:c r="H40" s="36" t="n">
        <x:v>0.7</x:v>
      </x:c>
      <x:c r="I40" s="27" t="str">
        <x:v>onvoldoende informatie</x:v>
      </x:c>
      <x:c r="J40" s="27" t="str">
        <x:v>Productomschrijving bevat geen inhoudelijke informatie.</x:v>
      </x:c>
      <x:c r="K40" s="28" t="str">
        <x:v>81277c6c-4ba8-48b6-a149-276758e6d50c</x:v>
      </x:c>
    </x:row>
    <x:row r="41">
      <x:c r="A41" s="26" t="str">
        <x:v>Derks Lease B.V.</x:v>
      </x:c>
      <x:c r="B41" s="33" t="n">
        <x:v>46244.416666666664</x:v>
      </x:c>
      <x:c r="C41" s="27" t="str">
        <x:v>Zakelijke verkeersboete / leasekosten (geen btw)</x:v>
      </x:c>
      <x:c r="D41" s="27" t="str">
        <x:v>boetes</x:v>
      </x:c>
      <x:c r="E41" s="27" t="str">
        <x:v>boetes</x:v>
      </x:c>
      <x:c r="F41" s="27" t="str">
        <x:v>overig</x:v>
      </x:c>
      <x:c r="G41" s="27" t="str">
        <x:v>splitsen: boetes + autokosten</x:v>
      </x:c>
      <x:c r="H41" s="36" t="n">
        <x:v>0.35</x:v>
      </x:c>
      <x:c r="I41" s="27" t="str">
        <x:v>handmatig beslissen</x:v>
      </x:c>
      <x:c r="J41" s="27" t="str">
        <x:v>Omschrijving combineert boete en leasekosten.</x:v>
      </x:c>
      <x:c r="K41" s="28" t="str">
        <x:v>f2d0d2f8-e42b-4cc3-9632-b474467ab2ae</x:v>
      </x:c>
    </x:row>
    <x:row r="42">
      <x:c r="A42" s="26" t="str">
        <x:v>Derkslease</x:v>
      </x:c>
      <x:c r="B42" s="33" t="n">
        <x:v>46163.416666666664</x:v>
      </x:c>
      <x:c r="C42" s="27" t="str">
        <x:v>Opel Vivaro (gb) 1.5d l3h1 hl selection 75kW (kenteken VDD-37-F) - periode 21-05-2026 t/m 31-05-2026</x:v>
      </x:c>
      <x:c r="D42" s="27" t="str">
        <x:v>materiaal</x:v>
      </x:c>
      <x:c r="E42" s="27" t="str">
        <x:v>autokosten</x:v>
      </x:c>
      <x:c r="F42" s="27" t="str">
        <x:v>overig</x:v>
      </x:c>
      <x:c r="G42" s="27" t="str">
        <x:v>autokosten</x:v>
      </x:c>
      <x:c r="H42" s="36" t="n">
        <x:v>0.01</x:v>
      </x:c>
      <x:c r="I42" s="27" t="str">
        <x:v>waarschijnlijk fout</x:v>
      </x:c>
      <x:c r="J42" s="27" t="str">
        <x:v>Lease-/huurtermijn van de bedrijfsbus.</x:v>
      </x:c>
      <x:c r="K42" s="28" t="str">
        <x:v>d94c2381-10bd-4f36-a028-fe39cf61ea0f</x:v>
      </x:c>
    </x:row>
    <x:row r="43">
      <x:c r="A43" s="26" t="str">
        <x:v>Derkslease</x:v>
      </x:c>
      <x:c r="B43" s="33" t="n">
        <x:v>46203.416666666664</x:v>
      </x:c>
      <x:c r="C43" s="27" t="str">
        <x:v>Termijn lease/huur Opel Vivaro (kenteken VDD-37-F), contract 2898, periode 01-06-2026 t/m 30-06-2026</x:v>
      </x:c>
      <x:c r="D43" s="27" t="str">
        <x:v>gereedschap</x:v>
      </x:c>
      <x:c r="E43" s="27" t="str">
        <x:v>autokosten</x:v>
      </x:c>
      <x:c r="F43" s="27" t="str">
        <x:v>overig</x:v>
      </x:c>
      <x:c r="G43" s="27" t="str">
        <x:v>autokosten</x:v>
      </x:c>
      <x:c r="H43" s="36" t="n">
        <x:v>0.01</x:v>
      </x:c>
      <x:c r="I43" s="27" t="str">
        <x:v>waarschijnlijk fout</x:v>
      </x:c>
      <x:c r="J43" s="27" t="str">
        <x:v>Lease-/huurtermijn van de bedrijfsbus.</x:v>
      </x:c>
      <x:c r="K43" s="28" t="str">
        <x:v>7f43e3b4-7dcb-40da-92f0-f30b564a1df4</x:v>
      </x:c>
    </x:row>
    <x:row r="44">
      <x:c r="A44" s="26" t="str">
        <x:v>Derkslease</x:v>
      </x:c>
      <x:c r="B44" s="33" t="n">
        <x:v>46204.416666666664</x:v>
      </x:c>
      <x:c r="C44" s="27" t="str">
        <x:v>Lease termijnbedrag Opel Vivaro (gb) 1.5d l3h1 hl selection 75kW, periode 01-07-2026 t/m 31-07-2026</x:v>
      </x:c>
      <x:c r="D44" s="27" t="str">
        <x:v>brandstof</x:v>
      </x:c>
      <x:c r="E44" s="27" t="str">
        <x:v>autokosten</x:v>
      </x:c>
      <x:c r="F44" s="27" t="str">
        <x:v>overig</x:v>
      </x:c>
      <x:c r="G44" s="27" t="str">
        <x:v>autokosten</x:v>
      </x:c>
      <x:c r="H44" s="36" t="n">
        <x:v>0.01</x:v>
      </x:c>
      <x:c r="I44" s="27" t="str">
        <x:v>waarschijnlijk fout</x:v>
      </x:c>
      <x:c r="J44" s="27" t="str">
        <x:v>Lease-/huurtermijn van de bedrijfsbus.</x:v>
      </x:c>
      <x:c r="K44" s="28" t="str">
        <x:v>9f233815-3cb7-4dce-ae7a-e3a64a07ccfc</x:v>
      </x:c>
    </x:row>
    <x:row r="45">
      <x:c r="A45" s="26" t="str">
        <x:v>DerksLease</x:v>
      </x:c>
      <x:c r="B45" s="33" t="n">
        <x:v>46235.416666666664</x:v>
      </x:c>
      <x:c r="C45" s="27" t="str">
        <x:v>Lease termijn kenteken VDD-37-F (Opel Vivaro (gb) 1.5d l3h1 hl selection 75kW) periode 01-08-2026 t/m 31-08-2026 (contract 2898)</x:v>
      </x:c>
      <x:c r="D45" s="27" t="str">
        <x:v>overig</x:v>
      </x:c>
      <x:c r="E45" s="27" t="str">
        <x:v>autokosten</x:v>
      </x:c>
      <x:c r="F45" s="27" t="str">
        <x:v>overig</x:v>
      </x:c>
      <x:c r="G45" s="27" t="str">
        <x:v>autokosten</x:v>
      </x:c>
      <x:c r="H45" s="36" t="n">
        <x:v>0.01</x:v>
      </x:c>
      <x:c r="I45" s="27" t="str">
        <x:v>waarschijnlijk fout</x:v>
      </x:c>
      <x:c r="J45" s="27" t="str">
        <x:v>Lease-/huurtermijn van de bedrijfsbus.</x:v>
      </x:c>
      <x:c r="K45" s="28" t="str">
        <x:v>edba7ea5-e658-4360-877b-491547a4188a</x:v>
      </x:c>
    </x:row>
    <x:row r="46">
      <x:c r="A46" s="26" t="str">
        <x:v>DSG Bouwmaten B.V. (Bouwmaat Nieuwegein)</x:v>
      </x:c>
      <x:c r="B46" s="33" t="n">
        <x:v>46169.416666666664</x:v>
      </x:c>
      <x:c r="C46" s="27" t="str">
        <x:v>Tijdelijke toeslag transportkosten</x:v>
      </x:c>
      <x:c r="D46" s="27" t="str">
        <x:v>overig</x:v>
      </x:c>
      <x:c r="E46" s="27" t="str">
        <x:v>materiaal</x:v>
      </x:c>
      <x:c r="F46" s="27" t="str">
        <x:v>overig</x:v>
      </x:c>
      <x:c r="G46" s="27" t="str">
        <x:v>materiaal</x:v>
      </x:c>
      <x:c r="H46" s="36" t="n">
        <x:v>0.2</x:v>
      </x:c>
      <x:c r="I46" s="27" t="str">
        <x:v>handmatig beslissen</x:v>
      </x:c>
      <x:c r="J46" s="27" t="str">
        <x:v>Bijkomende kosten/verbruiksmiddel van een materiaalfactuur; huidige verwerking is inconsistent.</x:v>
      </x:c>
      <x:c r="K46" s="28" t="str">
        <x:v>0e733be0-5401-473b-8779-e070b2e14331</x:v>
      </x:c>
    </x:row>
    <x:row r="47">
      <x:c r="A47" s="26" t="str">
        <x:v>DSG Bouwmaten B.V. (Bouwmaat Nieuwegein)</x:v>
      </x:c>
      <x:c r="B47" s="33" t="n">
        <x:v>46246.416666666664</x:v>
      </x:c>
      <x:c r="C47" s="27" t="str">
        <x:v>Bounty melk 57gr</x:v>
      </x:c>
      <x:c r="D47" s="27" t="str">
        <x:v>overig</x:v>
      </x:c>
      <x:c r="E47" s="27" t="str">
        <x:v>overig</x:v>
      </x:c>
      <x:c r="F47" s="27" t="str">
        <x:v>overig</x:v>
      </x:c>
      <x:c r="G47" s="27" t="str">
        <x:v>eigen_verbruik</x:v>
      </x:c>
      <x:c r="H47" s="36" t="n">
        <x:v>0.05</x:v>
      </x:c>
      <x:c r="I47" s="27" t="str">
        <x:v>waarschijnlijk fout</x:v>
      </x:c>
      <x:c r="J47" s="27" t="str">
        <x:v>Eten, drinken of privéartikel; geen bouwmateriaal/gereedschap.</x:v>
      </x:c>
      <x:c r="K47" s="28" t="str">
        <x:v>f2002abf-dc48-4a70-8a27-9ad06e3084b5</x:v>
      </x:c>
    </x:row>
    <x:row r="48">
      <x:c r="A48" s="26" t="str">
        <x:v>DSG Bouwmaten B.V. (Bouwmaat)</x:v>
      </x:c>
      <x:c r="B48" s="33" t="n">
        <x:v>46168.416666666664</x:v>
      </x:c>
      <x:c r="C48" s="27" t="str">
        <x:v>Afvalzak LDPE blauw 90x110cm (20 stuks)</x:v>
      </x:c>
      <x:c r="D48" s="27" t="str">
        <x:v>overig</x:v>
      </x:c>
      <x:c r="E48" s="27" t="str">
        <x:v>materiaal</x:v>
      </x:c>
      <x:c r="F48" s="27" t="str">
        <x:v>overig</x:v>
      </x:c>
      <x:c r="G48" s="27" t="str">
        <x:v>materiaal</x:v>
      </x:c>
      <x:c r="H48" s="36" t="n">
        <x:v>0.2</x:v>
      </x:c>
      <x:c r="I48" s="27" t="str">
        <x:v>handmatig beslissen</x:v>
      </x:c>
      <x:c r="J48" s="27" t="str">
        <x:v>Bijkomende kosten/verbruiksmiddel van een materiaalfactuur; huidige verwerking is inconsistent.</x:v>
      </x:c>
      <x:c r="K48" s="28" t="str">
        <x:v>5f9d89e2-a764-4bc8-b05b-c75d2fe97198</x:v>
      </x:c>
    </x:row>
    <x:row r="49">
      <x:c r="A49" s="26" t="str">
        <x:v>DSG Bouwmaten B.V. (Bouwmaat)</x:v>
      </x:c>
      <x:c r="B49" s="33" t="n">
        <x:v>46168.416666666664</x:v>
      </x:c>
      <x:c r="C49" s="27" t="str">
        <x:v>Tijdelijke toeslag transportkosten</x:v>
      </x:c>
      <x:c r="D49" s="27" t="str">
        <x:v>overig</x:v>
      </x:c>
      <x:c r="E49" s="27" t="str">
        <x:v>materiaal</x:v>
      </x:c>
      <x:c r="F49" s="27" t="str">
        <x:v>overig</x:v>
      </x:c>
      <x:c r="G49" s="27" t="str">
        <x:v>materiaal</x:v>
      </x:c>
      <x:c r="H49" s="36" t="n">
        <x:v>0.2</x:v>
      </x:c>
      <x:c r="I49" s="27" t="str">
        <x:v>handmatig beslissen</x:v>
      </x:c>
      <x:c r="J49" s="27" t="str">
        <x:v>Bijkomende kosten/verbruiksmiddel van een materiaalfactuur; huidige verwerking is inconsistent.</x:v>
      </x:c>
      <x:c r="K49" s="28" t="str">
        <x:v>5f9d89e2-a764-4bc8-b05b-c75d2fe97198</x:v>
      </x:c>
    </x:row>
    <x:row r="50">
      <x:c r="A50" s="26" t="str">
        <x:v>DSG Bouwmaten B.V. (Bouwmaat)</x:v>
      </x:c>
      <x:c r="B50" s="33" t="n">
        <x:v>46259.416666666664</x:v>
      </x:c>
      <x:c r="C50" s="27" t="str">
        <x:v>Transportkosten Keralit</x:v>
      </x:c>
      <x:c r="D50" s="27" t="str">
        <x:v>overig</x:v>
      </x:c>
      <x:c r="E50" s="27" t="str">
        <x:v>materiaal</x:v>
      </x:c>
      <x:c r="F50" s="27" t="str">
        <x:v>(niet gekoppeld)</x:v>
      </x:c>
      <x:c r="G50" s="27" t="str">
        <x:v>materiaal</x:v>
      </x:c>
      <x:c r="H50" s="36" t="n">
        <x:v>0.2</x:v>
      </x:c>
      <x:c r="I50" s="27" t="str">
        <x:v>handmatig beslissen</x:v>
      </x:c>
      <x:c r="J50" s="27" t="str">
        <x:v>Bijkomende kosten/verbruiksmiddel van een materiaalfactuur; huidige verwerking is inconsistent.</x:v>
      </x:c>
      <x:c r="K50" s="28" t="str">
        <x:v>39d27354-3bca-46dd-9108-974dfc5df0b8</x:v>
      </x:c>
    </x:row>
    <x:row r="51">
      <x:c r="A51" s="26" t="str">
        <x:v>Esso Bunnik</x:v>
      </x:c>
      <x:c r="B51" s="33" t="n">
        <x:v>46244.416666666664</x:v>
      </x:c>
      <x:c r="C51" s="27" t="str">
        <x:v>Tankbeurt/koffie Esso Bunnik (papieren bon ontbreekt)</x:v>
      </x:c>
      <x:c r="D51" s="27" t="str">
        <x:v>brandstof</x:v>
      </x:c>
      <x:c r="E51" s="27" t="str">
        <x:v>brandstof</x:v>
      </x:c>
      <x:c r="F51" s="27" t="str">
        <x:v>overig</x:v>
      </x:c>
      <x:c r="G51" s="27" t="str">
        <x:v>splitsen: brandstof + eigen_verbruik</x:v>
      </x:c>
      <x:c r="H51" s="36" t="n">
        <x:v>0.55</x:v>
      </x:c>
      <x:c r="I51" s="27" t="str">
        <x:v>handmatig beslissen</x:v>
      </x:c>
      <x:c r="J51" s="27" t="str">
        <x:v>Omschrijving bevat twee verschillende categorieën en er is geen bon-specificatie.</x:v>
      </x:c>
      <x:c r="K51" s="28" t="str">
        <x:v>1c75d3d4-70a6-41d0-a8e9-38a0d1ffe72f</x:v>
      </x:c>
    </x:row>
    <x:row r="52">
      <x:c r="A52" s="26" t="str">
        <x:v>Esso Uitgeest Rijksweg</x:v>
      </x:c>
      <x:c r="B52" s="33" t="n">
        <x:v>46237.416666666664</x:v>
      </x:c>
      <x:c r="C52" s="27" t="str">
        <x:v>Tankbeurt/koffie Esso Uitgeest (papieren bon ontbreekt)</x:v>
      </x:c>
      <x:c r="D52" s="27" t="str">
        <x:v>brandstof</x:v>
      </x:c>
      <x:c r="E52" s="27" t="str">
        <x:v>brandstof</x:v>
      </x:c>
      <x:c r="F52" s="27" t="str">
        <x:v>overig</x:v>
      </x:c>
      <x:c r="G52" s="27" t="str">
        <x:v>splitsen: brandstof + eigen_verbruik</x:v>
      </x:c>
      <x:c r="H52" s="36" t="n">
        <x:v>0.55</x:v>
      </x:c>
      <x:c r="I52" s="27" t="str">
        <x:v>handmatig beslissen</x:v>
      </x:c>
      <x:c r="J52" s="27" t="str">
        <x:v>Omschrijving bevat twee verschillende categorieën en er is geen bon-specificatie.</x:v>
      </x:c>
      <x:c r="K52" s="28" t="str">
        <x:v>c23e6c64-45b9-4825-a5db-bc6156aeed12</x:v>
      </x:c>
    </x:row>
    <x:row r="53">
      <x:c r="A53" s="26" t="str">
        <x:v>GAMMA</x:v>
      </x:c>
      <x:c r="B53" s="33" t="n">
        <x:v>46236.416666666664</x:v>
      </x:c>
      <x:c r="C53" s="27" t="str">
        <x:v>Protect Home wespen schuimspray 400ml</x:v>
      </x:c>
      <x:c r="D53" s="27" t="str">
        <x:v>materiaal</x:v>
      </x:c>
      <x:c r="E53" s="27" t="str">
        <x:v>materiaal</x:v>
      </x:c>
      <x:c r="F53" s="27" t="str">
        <x:v>overig</x:v>
      </x:c>
      <x:c r="G53" s="27" t="str">
        <x:v>materiaal of overig</x:v>
      </x:c>
      <x:c r="H53" s="36" t="n">
        <x:v>0.6</x:v>
      </x:c>
      <x:c r="I53" s="27" t="str">
        <x:v>handmatig beslissen</x:v>
      </x:c>
      <x:c r="J53" s="27" t="str">
        <x:v>Doel van de aankoop bepaalt of dit projectmateriaal of algemeen verbruik is.</x:v>
      </x:c>
      <x:c r="K53" s="28" t="str">
        <x:v>60fc0bb9-20c0-4142-af8d-51afd7392bb8</x:v>
      </x:c>
    </x:row>
    <x:row r="54">
      <x:c r="A54" s="26" t="str">
        <x:v>GAMMA</x:v>
      </x:c>
      <x:c r="B54" s="33" t="n">
        <x:v>46242.416666666664</x:v>
      </x:c>
      <x:c r="C54" s="27" t="str">
        <x:v>Wall charger 20W USB-C</x:v>
      </x:c>
      <x:c r="D54" s="27" t="str">
        <x:v>materiaal</x:v>
      </x:c>
      <x:c r="E54" s="27" t="str">
        <x:v>materiaal</x:v>
      </x:c>
      <x:c r="F54" s="27" t="str">
        <x:v>overig</x:v>
      </x:c>
      <x:c r="G54" s="27" t="str">
        <x:v>telefoon</x:v>
      </x:c>
      <x:c r="H54" s="36" t="n">
        <x:v>0.05</x:v>
      </x:c>
      <x:c r="I54" s="27" t="str">
        <x:v>waarschijnlijk fout</x:v>
      </x:c>
      <x:c r="J54" s="27" t="str">
        <x:v>Telefoonlader/-kabel.</x:v>
      </x:c>
      <x:c r="K54" s="28" t="str">
        <x:v>c73ce8c4-41d4-4006-bb9f-f5ee4ae8ba3c</x:v>
      </x:c>
    </x:row>
    <x:row r="55">
      <x:c r="A55" s="26" t="str">
        <x:v>GAMMA</x:v>
      </x:c>
      <x:c r="B55" s="33" t="n">
        <x:v>46243.416666666664</x:v>
      </x:c>
      <x:c r="C55" s="27" t="str">
        <x:v>Fanta Orange 50cl + statiegeld</x:v>
      </x:c>
      <x:c r="D55" s="27" t="str">
        <x:v>overig</x:v>
      </x:c>
      <x:c r="E55" s="27" t="str">
        <x:v>overig</x:v>
      </x:c>
      <x:c r="F55" s="27" t="str">
        <x:v>overig</x:v>
      </x:c>
      <x:c r="G55" s="27" t="str">
        <x:v>eigen_verbruik</x:v>
      </x:c>
      <x:c r="H55" s="36" t="n">
        <x:v>0.05</x:v>
      </x:c>
      <x:c r="I55" s="27" t="str">
        <x:v>waarschijnlijk fout</x:v>
      </x:c>
      <x:c r="J55" s="27" t="str">
        <x:v>Eten, drinken of privéartikel; geen bouwmateriaal/gereedschap.</x:v>
      </x:c>
      <x:c r="K55" s="28" t="str">
        <x:v>aac15872-8dcb-467c-8cad-783171377439</x:v>
      </x:c>
    </x:row>
    <x:row r="56">
      <x:c r="A56" s="26" t="str">
        <x:v>GAMMA</x:v>
      </x:c>
      <x:c r="B56" s="33" t="n">
        <x:v>46243.416666666664</x:v>
      </x:c>
      <x:c r="C56" s="27" t="str">
        <x:v>Moersleutel Suki 250mm</x:v>
      </x:c>
      <x:c r="D56" s="27" t="str">
        <x:v>materiaal</x:v>
      </x:c>
      <x:c r="E56" s="27" t="str">
        <x:v>materiaal</x:v>
      </x:c>
      <x:c r="F56" s="27" t="str">
        <x:v>overig</x:v>
      </x:c>
      <x:c r="G56" s="27" t="str">
        <x:v>gereedschap</x:v>
      </x:c>
      <x:c r="H56" s="36" t="n">
        <x:v>0.03</x:v>
      </x:c>
      <x:c r="I56" s="27" t="str">
        <x:v>waarschijnlijk fout</x:v>
      </x:c>
      <x:c r="J56" s="27" t="str">
        <x:v>Herbruikbaar handgereedschap of schildersgereedschap.</x:v>
      </x:c>
      <x:c r="K56" s="28" t="str">
        <x:v>75fafd11-1ec0-414c-9c74-0feb94252623</x:v>
      </x:c>
    </x:row>
    <x:row r="57">
      <x:c r="A57" s="26" t="str">
        <x:v>GAMMA</x:v>
      </x:c>
      <x:c r="B57" s="33" t="n">
        <x:v>46243.416666666664</x:v>
      </x:c>
      <x:c r="C57" s="27" t="str">
        <x:v>Statiegeld</x:v>
      </x:c>
      <x:c r="D57" s="27" t="str">
        <x:v>overig</x:v>
      </x:c>
      <x:c r="E57" s="27" t="str">
        <x:v>overig</x:v>
      </x:c>
      <x:c r="F57" s="27" t="str">
        <x:v>overig</x:v>
      </x:c>
      <x:c r="G57" s="27" t="str">
        <x:v>retourwaarborg / geen definitieve kosten</x:v>
      </x:c>
      <x:c r="H57" s="36" t="n">
        <x:v>0.55</x:v>
      </x:c>
      <x:c r="I57" s="27" t="str">
        <x:v>handmatig beslissen</x:v>
      </x:c>
      <x:c r="J57" s="27" t="str">
        <x:v>Statiegeld is terugvorderbaar en mogelijk geen definitieve kostenpost.</x:v>
      </x:c>
      <x:c r="K57" s="28" t="str">
        <x:v>aac15872-8dcb-467c-8cad-783171377439</x:v>
      </x:c>
    </x:row>
    <x:row r="58">
      <x:c r="A58" s="26" t="str">
        <x:v>GAMMA</x:v>
      </x:c>
      <x:c r="B58" s="33" t="n">
        <x:v>46252.416666666664</x:v>
      </x:c>
      <x:c r="C58" s="27" t="str">
        <x:v>ANZA Premium Universal Flat 50mm</x:v>
      </x:c>
      <x:c r="D58" s="27" t="str">
        <x:v>materiaal</x:v>
      </x:c>
      <x:c r="E58" s="27" t="str">
        <x:v>materiaal</x:v>
      </x:c>
      <x:c r="F58" s="27" t="str">
        <x:v>overig</x:v>
      </x:c>
      <x:c r="G58" s="27" t="str">
        <x:v>gereedschap</x:v>
      </x:c>
      <x:c r="H58" s="36" t="n">
        <x:v>0.03</x:v>
      </x:c>
      <x:c r="I58" s="27" t="str">
        <x:v>waarschijnlijk fout</x:v>
      </x:c>
      <x:c r="J58" s="27" t="str">
        <x:v>Herbruikbaar handgereedschap of schildersgereedschap.</x:v>
      </x:c>
      <x:c r="K58" s="28" t="str">
        <x:v>0560cd4e-ef86-4dd8-8b5f-d429a38c6060</x:v>
      </x:c>
    </x:row>
    <x:row r="59">
      <x:c r="A59" s="26" t="str">
        <x:v>Kentekenmaken.nl</x:v>
      </x:c>
      <x:c r="B59" s="33" t="n">
        <x:v>46211.416666666664</x:v>
      </x:c>
      <x:c r="C59" s="27" t="str">
        <x:v>Witte kentekenplaat (auto) - tekst: VDD-37-F</x:v>
      </x:c>
      <x:c r="D59" s="27" t="str">
        <x:v>materiaal</x:v>
      </x:c>
      <x:c r="E59" s="27" t="str">
        <x:v>materiaal</x:v>
      </x:c>
      <x:c r="F59" s="27" t="str">
        <x:v>overig</x:v>
      </x:c>
      <x:c r="G59" s="27" t="str">
        <x:v>autokosten</x:v>
      </x:c>
      <x:c r="H59" s="36" t="n">
        <x:v>0.02</x:v>
      </x:c>
      <x:c r="I59" s="27" t="str">
        <x:v>waarschijnlijk fout</x:v>
      </x:c>
      <x:c r="J59" s="27" t="str">
        <x:v>Voertuiggebonden uitgave.</x:v>
      </x:c>
      <x:c r="K59" s="28" t="str">
        <x:v>dee5f041-b060-4738-b531-8a0dac7f891e</x:v>
      </x:c>
    </x:row>
    <x:row r="60">
      <x:c r="A60" s="26" t="str">
        <x:v>Koffie</x:v>
      </x:c>
      <x:c r="B60" s="33" t="n">
        <x:v>46223.416666666664</x:v>
      </x:c>
      <x:c r="C60" s="27" t="str">
        <x:v>Koffie</x:v>
      </x:c>
      <x:c r="D60" s="27" t="str">
        <x:v>materiaal</x:v>
      </x:c>
      <x:c r="E60" s="27" t="str">
        <x:v>materiaal</x:v>
      </x:c>
      <x:c r="F60" s="27" t="str">
        <x:v>overig</x:v>
      </x:c>
      <x:c r="G60" s="27" t="str">
        <x:v>eigen_verbruik</x:v>
      </x:c>
      <x:c r="H60" s="36" t="n">
        <x:v>0.05</x:v>
      </x:c>
      <x:c r="I60" s="27" t="str">
        <x:v>waarschijnlijk fout</x:v>
      </x:c>
      <x:c r="J60" s="27" t="str">
        <x:v>Eten, drinken of privéartikel; geen bouwmateriaal/gereedschap.</x:v>
      </x:c>
      <x:c r="K60" s="28" t="str">
        <x:v>d61eabed-ae09-403b-85b5-d1c7514b2797</x:v>
      </x:c>
    </x:row>
    <x:row r="61">
      <x:c r="A61" s="26" t="str">
        <x:v>MediaMarkt</x:v>
      </x:c>
      <x:c r="B61" s="33" t="n">
        <x:v>46220.416666666664</x:v>
      </x:c>
      <x:c r="C61" s="27" t="str">
        <x:v>Samsung EP-DX510JBEGEU USB-C naar USB-C (laadkabel)</x:v>
      </x:c>
      <x:c r="D61" s="27" t="str">
        <x:v>materiaal</x:v>
      </x:c>
      <x:c r="E61" s="27" t="str">
        <x:v>materiaal</x:v>
      </x:c>
      <x:c r="F61" s="27" t="str">
        <x:v>overig</x:v>
      </x:c>
      <x:c r="G61" s="27" t="str">
        <x:v>telefoon</x:v>
      </x:c>
      <x:c r="H61" s="36" t="n">
        <x:v>0.05</x:v>
      </x:c>
      <x:c r="I61" s="27" t="str">
        <x:v>waarschijnlijk fout</x:v>
      </x:c>
      <x:c r="J61" s="27" t="str">
        <x:v>Telefoonlader/-kabel.</x:v>
      </x:c>
      <x:c r="K61" s="28" t="str">
        <x:v>6e35d3b1-3f4a-4650-a659-571db042f297</x:v>
      </x:c>
    </x:row>
    <x:row r="62">
      <x:c r="A62" s="26" t="str">
        <x:v>Moments &amp; More</x:v>
      </x:c>
      <x:c r="B62" s="33" t="n">
        <x:v>46245.416666666664</x:v>
      </x:c>
      <x:c r="C62" s="27" t="str">
        <x:v>Lunch met klant</x:v>
      </x:c>
      <x:c r="D62" s="27" t="str">
        <x:v>overig</x:v>
      </x:c>
      <x:c r="E62" s="27" t="str">
        <x:v>overig</x:v>
      </x:c>
      <x:c r="F62" s="27" t="str">
        <x:v>overig</x:v>
      </x:c>
      <x:c r="G62" s="27" t="str">
        <x:v>overig of eigen_verbruik</x:v>
      </x:c>
      <x:c r="H62" s="36" t="n">
        <x:v>0.8</x:v>
      </x:c>
      <x:c r="I62" s="27" t="str">
        <x:v>handmatig beslissen</x:v>
      </x:c>
      <x:c r="J62" s="27" t="str">
        <x:v>Zakelijke lunch versus privé/eigen verbruik moet beleidsmatig worden gekozen.</x:v>
      </x:c>
      <x:c r="K62" s="28" t="str">
        <x:v>222a2fb4-2f1f-4479-a9fc-922212fdbd5a</x:v>
      </x:c>
    </x:row>
    <x:row r="63">
      <x:c r="A63" s="26" t="str">
        <x:v>MS* VIAAMSTERDAM Betaalautomaat AMSTERDAM 12-07-2026 10:06 Pas: 3789 - € 3,39</x:v>
      </x:c>
      <x:c r="B63" s="33" t="n">
        <x:v>46221.416666666664</x:v>
      </x:c>
      <x:c r="C63" s="27" t="str">
        <x:v>hotelkosten</x:v>
      </x:c>
      <x:c r="D63" s="27" t="str">
        <x:v>materiaal</x:v>
      </x:c>
      <x:c r="E63" s="27" t="str">
        <x:v>hotel</x:v>
      </x:c>
      <x:c r="F63" s="27" t="str">
        <x:v>overig</x:v>
      </x:c>
      <x:c r="G63" s="27" t="str">
        <x:v>hotel</x:v>
      </x:c>
      <x:c r="H63" s="36" t="n">
        <x:v>0.01</x:v>
      </x:c>
      <x:c r="I63" s="27" t="str">
        <x:v>waarschijnlijk fout</x:v>
      </x:c>
      <x:c r="J63" s="27" t="str">
        <x:v>Hotel-/verblijfskosten.</x:v>
      </x:c>
      <x:c r="K63" s="28" t="str">
        <x:v>081f740d-0063-40ff-a9aa-72adf5f73e96</x:v>
      </x:c>
    </x:row>
    <x:row r="64">
      <x:c r="A64" s="26" t="str">
        <x:v>Praxis Dordrecht</x:v>
      </x:c>
      <x:c r="B64" s="33" t="n">
        <x:v>46247.416666666664</x:v>
      </x:c>
      <x:c r="C64" s="27" t="str">
        <x:v>Praxis materiaalaankoop (papieren bon ontbreekt)</x:v>
      </x:c>
      <x:c r="D64" s="27" t="str">
        <x:v>materiaal</x:v>
      </x:c>
      <x:c r="E64" s="27" t="str">
        <x:v>materiaal</x:v>
      </x:c>
      <x:c r="F64" s="27" t="str">
        <x:v>overig</x:v>
      </x:c>
      <x:c r="G64" s="27" t="str">
        <x:v>document/productregels controleren</x:v>
      </x:c>
      <x:c r="H64" s="36" t="n">
        <x:v>0.6</x:v>
      </x:c>
      <x:c r="I64" s="27" t="str">
        <x:v>onvoldoende informatie</x:v>
      </x:c>
      <x:c r="J64" s="27" t="str">
        <x:v>Omschrijving is te algemeen of leeg voor 98% zekerheid.</x:v>
      </x:c>
      <x:c r="K64" s="28" t="str">
        <x:v>89964c3c-7676-4d44-9ab2-eb95f180d9a3</x:v>
      </x:c>
    </x:row>
    <x:row r="65">
      <x:c r="A65" s="26" t="str">
        <x:v>Praxis Huizen</x:v>
      </x:c>
      <x:c r="B65" s="33" t="n">
        <x:v>46258.416666666664</x:v>
      </x:c>
      <x:c r="C65" s="27" t="str">
        <x:v>Praxis materiaalaankoop (papieren bon ontbreekt)</x:v>
      </x:c>
      <x:c r="D65" s="27" t="str">
        <x:v>materiaal</x:v>
      </x:c>
      <x:c r="E65" s="27" t="str">
        <x:v>materiaal</x:v>
      </x:c>
      <x:c r="F65" s="27" t="str">
        <x:v>overig</x:v>
      </x:c>
      <x:c r="G65" s="27" t="str">
        <x:v>document/productregels controleren</x:v>
      </x:c>
      <x:c r="H65" s="36" t="n">
        <x:v>0.6</x:v>
      </x:c>
      <x:c r="I65" s="27" t="str">
        <x:v>onvoldoende informatie</x:v>
      </x:c>
      <x:c r="J65" s="27" t="str">
        <x:v>Omschrijving is te algemeen of leeg voor 98% zekerheid.</x:v>
      </x:c>
      <x:c r="K65" s="28" t="str">
        <x:v>983d4d48-e59e-47a3-ab8f-8c1e5fa4488b</x:v>
      </x:c>
    </x:row>
    <x:row r="66">
      <x:c r="A66" s="26" t="str">
        <x:v>Texaco Zaandam Prins</x:v>
      </x:c>
      <x:c r="B66" s="33" t="n">
        <x:v>46238.416666666664</x:v>
      </x:c>
      <x:c r="C66" s="27" t="str">
        <x:v>Tankbeurt/koffie Texaco (papieren bon ontbreekt)</x:v>
      </x:c>
      <x:c r="D66" s="27" t="str">
        <x:v>brandstof</x:v>
      </x:c>
      <x:c r="E66" s="27" t="str">
        <x:v>brandstof</x:v>
      </x:c>
      <x:c r="F66" s="27" t="str">
        <x:v>overig</x:v>
      </x:c>
      <x:c r="G66" s="27" t="str">
        <x:v>splitsen: brandstof + eigen_verbruik</x:v>
      </x:c>
      <x:c r="H66" s="36" t="n">
        <x:v>0.55</x:v>
      </x:c>
      <x:c r="I66" s="27" t="str">
        <x:v>handmatig beslissen</x:v>
      </x:c>
      <x:c r="J66" s="27" t="str">
        <x:v>Omschrijving bevat twee verschillende categorieën en er is geen bon-specificatie.</x:v>
      </x:c>
      <x:c r="K66" s="28" t="str">
        <x:v>8fffc11e-532f-40db-85a4-ce131c21a757</x:v>
      </x:c>
    </x:row>
    <x:row r="67">
      <x:c r="A67" s="26" t="str">
        <x:v>TMC Dordrecht</x:v>
      </x:c>
      <x:c r="B67" s="33" t="n">
        <x:v>46248.416666666664</x:v>
      </x:c>
      <x:c r="C67" s="27" t="str">
        <x:v>Parkeren klant-werkbespreking (bon ontbreekt)</x:v>
      </x:c>
      <x:c r="D67" s="27" t="str">
        <x:v>overig</x:v>
      </x:c>
      <x:c r="E67" s="27" t="str">
        <x:v>overig</x:v>
      </x:c>
      <x:c r="F67" s="27" t="str">
        <x:v>overig</x:v>
      </x:c>
      <x:c r="G67" s="27" t="str">
        <x:v>autokosten</x:v>
      </x:c>
      <x:c r="H67" s="36" t="n">
        <x:v>0.1</x:v>
      </x:c>
      <x:c r="I67" s="27" t="str">
        <x:v>waarschijnlijk fout</x:v>
      </x:c>
      <x:c r="J67" s="27" t="str">
        <x:v>Parkeerkosten horen bij voertuig-/reiskosten.</x:v>
      </x:c>
      <x:c r="K67" s="28" t="str">
        <x:v>1a6e23c7-765a-4035-8909-a181de937b6a</x:v>
      </x:c>
    </x:row>
    <x:row r="68">
      <x:c r="A68" s="26" t="str">
        <x:v>toolstation</x:v>
      </x:c>
      <x:c r="B68" s="33" t="n">
        <x:v>46218.416666666664</x:v>
      </x:c>
      <x:c r="C68" s="27" t="str">
        <x:v>(geen productomschrijving)</x:v>
      </x:c>
      <x:c r="D68" s="27" t="str">
        <x:v>materiaal</x:v>
      </x:c>
      <x:c r="E68" s="27" t="str">
        <x:v>materiaal</x:v>
      </x:c>
      <x:c r="F68" s="27" t="str">
        <x:v>overig</x:v>
      </x:c>
      <x:c r="G68" s="27" t="str">
        <x:v>document/productregels controleren</x:v>
      </x:c>
      <x:c r="H68" s="36" t="n">
        <x:v>0.6</x:v>
      </x:c>
      <x:c r="I68" s="27" t="str">
        <x:v>onvoldoende informatie</x:v>
      </x:c>
      <x:c r="J68" s="27" t="str">
        <x:v>Omschrijving is te algemeen of leeg voor 98% zekerheid.</x:v>
      </x:c>
      <x:c r="K68" s="28" t="str">
        <x:v>e433cfc1-bdbf-4333-8a87-9b651ea81951</x:v>
      </x:c>
    </x:row>
    <x:row r="69">
      <x:c r="A69" s="26" t="str">
        <x:v>Toolstation NL B.V.</x:v>
      </x:c>
      <x:c r="B69" s="33" t="n">
        <x:v>46223.416666666664</x:v>
      </x:c>
      <x:c r="C69" s="27" t="str">
        <x:v>Wago verbindingsklemmen</x:v>
      </x:c>
      <x:c r="D69" s="27" t="str">
        <x:v>gereedschap</x:v>
      </x:c>
      <x:c r="E69" s="27" t="str">
        <x:v>gereedschap</x:v>
      </x:c>
      <x:c r="F69" s="27" t="str">
        <x:v>overig</x:v>
      </x:c>
      <x:c r="G69" s="27" t="str">
        <x:v>materiaal</x:v>
      </x:c>
      <x:c r="H69" s="36" t="n">
        <x:v>0.02</x:v>
      </x:c>
      <x:c r="I69" s="27" t="str">
        <x:v>waarschijnlijk fout</x:v>
      </x:c>
      <x:c r="J69" s="27" t="str">
        <x:v>Elektrisch installatiemateriaal dat in het werk achterblijft.</x:v>
      </x:c>
      <x:c r="K69" s="28" t="str">
        <x:v>6514af44-ffd4-4150-b71a-fa2098cf40c2</x:v>
      </x:c>
    </x:row>
    <x:row r="70">
      <x:c r="A70" s="26" t="str">
        <x:v>Total (Beverwijk)</x:v>
      </x:c>
      <x:c r="B70" s="33" t="n">
        <x:v>46209.416666666664</x:v>
      </x:c>
      <x:c r="C70" s="27" t="str">
        <x:v>Pintransactie Total Beverwijk (bedrag onbekend gespecificeerd)</x:v>
      </x:c>
      <x:c r="D70" s="27" t="str">
        <x:v>brandstof</x:v>
      </x:c>
      <x:c r="E70" s="27" t="str">
        <x:v>brandstof</x:v>
      </x:c>
      <x:c r="F70" s="27" t="str">
        <x:v>overig</x:v>
      </x:c>
      <x:c r="G70" s="27" t="str">
        <x:v>document/productregels controleren</x:v>
      </x:c>
      <x:c r="H70" s="36" t="n">
        <x:v>0.6</x:v>
      </x:c>
      <x:c r="I70" s="27" t="str">
        <x:v>onvoldoende informatie</x:v>
      </x:c>
      <x:c r="J70" s="27" t="str">
        <x:v>Omschrijving is te algemeen of leeg voor 98% zekerheid.</x:v>
      </x:c>
      <x:c r="K70" s="28" t="str">
        <x:v>2de69f24-3fa9-4965-bb4f-f1f1c57a1470</x:v>
      </x:c>
    </x:row>
    <x:row r="71">
      <x:c r="A71" s="26" t="str">
        <x:v>Total Beverwijk</x:v>
      </x:c>
      <x:c r="B71" s="33" t="n">
        <x:v>46238.416666666664</x:v>
      </x:c>
      <x:c r="C71" s="27" t="str">
        <x:v>Tankbeurt/koffie Total Beverwijk (papieren bon ontbreekt)</x:v>
      </x:c>
      <x:c r="D71" s="27" t="str">
        <x:v>brandstof</x:v>
      </x:c>
      <x:c r="E71" s="27" t="str">
        <x:v>brandstof</x:v>
      </x:c>
      <x:c r="F71" s="27" t="str">
        <x:v>overig</x:v>
      </x:c>
      <x:c r="G71" s="27" t="str">
        <x:v>splitsen: brandstof + eigen_verbruik</x:v>
      </x:c>
      <x:c r="H71" s="36" t="n">
        <x:v>0.55</x:v>
      </x:c>
      <x:c r="I71" s="27" t="str">
        <x:v>handmatig beslissen</x:v>
      </x:c>
      <x:c r="J71" s="27" t="str">
        <x:v>Omschrijving bevat twee verschillende categorieën en er is geen bon-specificatie.</x:v>
      </x:c>
      <x:c r="K71" s="28" t="str">
        <x:v>de6bf78e-099c-4908-843c-c8075b22b715</x:v>
      </x:c>
    </x:row>
    <x:row r="72">
      <x:c r="A72" s="29" t="str">
        <x:v>XXL Direct BV</x:v>
      </x:c>
      <x:c r="B72" s="34" t="n">
        <x:v>46228.416666666664</x:v>
      </x:c>
      <x:c r="C72" s="30" t="str">
        <x:v>Verzending en verwerking</x:v>
      </x:c>
      <x:c r="D72" s="30" t="str">
        <x:v>overig</x:v>
      </x:c>
      <x:c r="E72" s="30" t="str">
        <x:v>materiaal</x:v>
      </x:c>
      <x:c r="F72" s="30" t="str">
        <x:v>(niet gekoppeld)</x:v>
      </x:c>
      <x:c r="G72" s="30" t="str">
        <x:v>materiaal</x:v>
      </x:c>
      <x:c r="H72" s="37" t="n">
        <x:v>0.2</x:v>
      </x:c>
      <x:c r="I72" s="30" t="str">
        <x:v>handmatig beslissen</x:v>
      </x:c>
      <x:c r="J72" s="30" t="str">
        <x:v>Bijkomende kosten/verbruiksmiddel van een materiaalfactuur; huidige verwerking is inconsistent.</x:v>
      </x:c>
      <x:c r="K72" s="31" t="str">
        <x:v>e72c5e74-2bcc-4291-b2b5-87bfc2430d68</x:v>
      </x:c>
    </x:row>
  </x:sheetData>
  <x:conditionalFormatting sqref="I2:I72">
    <x:cfRule type="containsText" dxfId="0" priority="1" operator="containsText" text="waarschijnlijk fout"/>
    <x:cfRule type="containsText" dxfId="1" priority="2" operator="containsText" text="handmatig beslissen"/>
    <x:cfRule type="containsText" dxfId="2" priority="3" operator="containsText" text="onvoldoende informatie"/>
  </x:conditionalFormatting>
  <x:pageMargins left="0.7" right="0.7" top="0.75" bottom="0.75" header="0.3" footer="0.3"/>
  <x:tableParts count="1">
    <x:tablePart xmlns:r="http://schemas.openxmlformats.org/officeDocument/2006/relationships" r:id="Raab7079197be474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54" hidden="0" customWidth="1"/>
    <x:col min="4" max="4" width="20" hidden="0" customWidth="1"/>
    <x:col min="5" max="5" width="20" hidden="0" customWidth="1"/>
    <x:col min="6" max="6" width="22" hidden="0" customWidth="1"/>
    <x:col min="7" max="7" width="22" hidden="0" customWidth="1"/>
    <x:col min="8" max="8" width="18" hidden="0" customWidth="1"/>
    <x:col min="9" max="9" width="22" hidden="0" customWidth="1"/>
    <x:col min="10" max="10" width="52" hidden="0" customWidth="1"/>
    <x:col min="11" max="11" width="38" hidden="0" customWidth="1"/>
  </x:cols>
  <x:sheetData>
    <x:row r="1" ht="34" customHeight="1">
      <x:c r="A1" s="4" t="str">
        <x:v>Leverancier</x:v>
      </x:c>
      <x:c r="B1" s="4" t="str">
        <x:v>Datum</x:v>
      </x:c>
      <x:c r="C1" s="4" t="str">
        <x:v>Product / regel</x:v>
      </x:c>
      <x:c r="D1" s="4" t="str">
        <x:v>Productcategorie nu</x:v>
      </x:c>
      <x:c r="E1" s="4" t="str">
        <x:v>Kostenregelcategorie</x:v>
      </x:c>
      <x:c r="F1" s="4" t="str">
        <x:v>Bankcategorie ruw</x:v>
      </x:c>
      <x:c r="G1" s="4" t="str">
        <x:v>Voorgestelde categorie</x:v>
      </x:c>
      <x:c r="H1" s="4" t="str">
        <x:v>Zekerheid huidig correct</x:v>
      </x:c>
      <x:c r="I1" s="4" t="str">
        <x:v>Bevinding</x:v>
      </x:c>
      <x:c r="J1" s="4" t="str">
        <x:v>Reden</x:v>
      </x:c>
      <x:c r="K1" s="4" t="str">
        <x:v>Kosten-ID</x:v>
      </x:c>
    </x:row>
    <x:row r="2">
      <x:c r="A2" s="23" t="str">
        <x:v>BME Bouwmaten Nederland B.V. (Bouwmaat)</x:v>
      </x:c>
      <x:c r="B2" s="32" t="n">
        <x:v>46247.416666666664</x:v>
      </x:c>
      <x:c r="C2" s="24" t="str">
        <x:v>Knorr Cup-a-Soup Soep Tomaat 21x11 gr, 21 stuks</x:v>
      </x:c>
      <x:c r="D2" s="24" t="str">
        <x:v>overig</x:v>
      </x:c>
      <x:c r="E2" s="24" t="str">
        <x:v>overig</x:v>
      </x:c>
      <x:c r="F2" s="24" t="str">
        <x:v>overig</x:v>
      </x:c>
      <x:c r="G2" s="24" t="str">
        <x:v>eigen_verbruik</x:v>
      </x:c>
      <x:c r="H2" s="35" t="n">
        <x:v>0.05</x:v>
      </x:c>
      <x:c r="I2" s="24" t="str">
        <x:v>waarschijnlijk fout</x:v>
      </x:c>
      <x:c r="J2" s="24" t="str">
        <x:v>Eten, drinken of privéartikel; geen bouwmateriaal/gereedschap.</x:v>
      </x:c>
      <x:c r="K2" s="25" t="str">
        <x:v>480f07e9-aaa0-48b3-9722-b3b9f46d36e5</x:v>
      </x:c>
    </x:row>
    <x:row r="3">
      <x:c r="A3" s="26" t="str">
        <x:v>BME Bouwmaten Nederland B.V. (Bouwmaat)</x:v>
      </x:c>
      <x:c r="B3" s="33" t="n">
        <x:v>46247.416666666664</x:v>
      </x:c>
      <x:c r="C3" s="27" t="str">
        <x:v>Ola Magnum Almond 110ml</x:v>
      </x:c>
      <x:c r="D3" s="27" t="str">
        <x:v>overig</x:v>
      </x:c>
      <x:c r="E3" s="27" t="str">
        <x:v>overig</x:v>
      </x:c>
      <x:c r="F3" s="27" t="str">
        <x:v>overig</x:v>
      </x:c>
      <x:c r="G3" s="27" t="str">
        <x:v>eigen_verbruik</x:v>
      </x:c>
      <x:c r="H3" s="36" t="n">
        <x:v>0.05</x:v>
      </x:c>
      <x:c r="I3" s="27" t="str">
        <x:v>waarschijnlijk fout</x:v>
      </x:c>
      <x:c r="J3" s="27" t="str">
        <x:v>Eten, drinken of privéartikel; geen bouwmateriaal/gereedschap.</x:v>
      </x:c>
      <x:c r="K3" s="28" t="str">
        <x:v>480f07e9-aaa0-48b3-9722-b3b9f46d36e5</x:v>
      </x:c>
    </x:row>
    <x:row r="4">
      <x:c r="A4" s="26" t="str">
        <x:v>BME Bouwmaten Nederland B.V. (Bouwmaat)</x:v>
      </x:c>
      <x:c r="B4" s="33" t="n">
        <x:v>46247.416666666664</x:v>
      </x:c>
      <x:c r="C4" s="27" t="str">
        <x:v>Red Bull Energy Blik 25cl</x:v>
      </x:c>
      <x:c r="D4" s="27" t="str">
        <x:v>overig</x:v>
      </x:c>
      <x:c r="E4" s="27" t="str">
        <x:v>overig</x:v>
      </x:c>
      <x:c r="F4" s="27" t="str">
        <x:v>overig</x:v>
      </x:c>
      <x:c r="G4" s="27" t="str">
        <x:v>eigen_verbruik</x:v>
      </x:c>
      <x:c r="H4" s="36" t="n">
        <x:v>0.05</x:v>
      </x:c>
      <x:c r="I4" s="27" t="str">
        <x:v>waarschijnlijk fout</x:v>
      </x:c>
      <x:c r="J4" s="27" t="str">
        <x:v>Eten, drinken of privéartikel; geen bouwmateriaal/gereedschap.</x:v>
      </x:c>
      <x:c r="K4" s="28" t="str">
        <x:v>480f07e9-aaa0-48b3-9722-b3b9f46d36e5</x:v>
      </x:c>
    </x:row>
    <x:row r="5">
      <x:c r="A5" s="26" t="str">
        <x:v>BME Bouwmaten Nederland B.V. (Bouwmaat)</x:v>
      </x:c>
      <x:c r="B5" s="33" t="n">
        <x:v>46247.416666666664</x:v>
      </x:c>
      <x:c r="C5" s="27" t="str">
        <x:v>Snickers</x:v>
      </x:c>
      <x:c r="D5" s="27" t="str">
        <x:v>overig</x:v>
      </x:c>
      <x:c r="E5" s="27" t="str">
        <x:v>overig</x:v>
      </x:c>
      <x:c r="F5" s="27" t="str">
        <x:v>overig</x:v>
      </x:c>
      <x:c r="G5" s="27" t="str">
        <x:v>eigen_verbruik</x:v>
      </x:c>
      <x:c r="H5" s="36" t="n">
        <x:v>0.05</x:v>
      </x:c>
      <x:c r="I5" s="27" t="str">
        <x:v>waarschijnlijk fout</x:v>
      </x:c>
      <x:c r="J5" s="27" t="str">
        <x:v>Eten, drinken of privéartikel; geen bouwmateriaal/gereedschap.</x:v>
      </x:c>
      <x:c r="K5" s="28" t="str">
        <x:v>480f07e9-aaa0-48b3-9722-b3b9f46d36e5</x:v>
      </x:c>
    </x:row>
    <x:row r="6">
      <x:c r="A6" s="26" t="str">
        <x:v>BME Bouwmaten Nederland B.V. (Bouwmaat)</x:v>
      </x:c>
      <x:c r="B6" s="33" t="n">
        <x:v>46247.416666666664</x:v>
      </x:c>
      <x:c r="C6" s="27" t="str">
        <x:v>Twix 50 gram</x:v>
      </x:c>
      <x:c r="D6" s="27" t="str">
        <x:v>overig</x:v>
      </x:c>
      <x:c r="E6" s="27" t="str">
        <x:v>overig</x:v>
      </x:c>
      <x:c r="F6" s="27" t="str">
        <x:v>overig</x:v>
      </x:c>
      <x:c r="G6" s="27" t="str">
        <x:v>eigen_verbruik</x:v>
      </x:c>
      <x:c r="H6" s="36" t="n">
        <x:v>0.05</x:v>
      </x:c>
      <x:c r="I6" s="27" t="str">
        <x:v>waarschijnlijk fout</x:v>
      </x:c>
      <x:c r="J6" s="27" t="str">
        <x:v>Eten, drinken of privéartikel; geen bouwmateriaal/gereedschap.</x:v>
      </x:c>
      <x:c r="K6" s="28" t="str">
        <x:v>480f07e9-aaa0-48b3-9722-b3b9f46d36e5</x:v>
      </x:c>
    </x:row>
    <x:row r="7">
      <x:c r="A7" s="26" t="str">
        <x:v>Bouwmaat</x:v>
      </x:c>
      <x:c r="B7" s="33" t="n">
        <x:v>46216.416666666664</x:v>
      </x:c>
      <x:c r="C7" s="27" t="str">
        <x:v>LEGO 42226 BMW M4 GT3 EVO Racewagen</x:v>
      </x:c>
      <x:c r="D7" s="27" t="str">
        <x:v>overig</x:v>
      </x:c>
      <x:c r="E7" s="27" t="str">
        <x:v>materiaal</x:v>
      </x:c>
      <x:c r="F7" s="27" t="str">
        <x:v>overig</x:v>
      </x:c>
      <x:c r="G7" s="27" t="str">
        <x:v>eigen_verbruik</x:v>
      </x:c>
      <x:c r="H7" s="36" t="n">
        <x:v>0.05</x:v>
      </x:c>
      <x:c r="I7" s="27" t="str">
        <x:v>waarschijnlijk fout</x:v>
      </x:c>
      <x:c r="J7" s="27" t="str">
        <x:v>Eten, drinken of privéartikel; geen bouwmateriaal/gereedschap.</x:v>
      </x:c>
      <x:c r="K7" s="28" t="str">
        <x:v>28912bca-64eb-4236-a789-623926342070</x:v>
      </x:c>
    </x:row>
    <x:row r="8">
      <x:c r="A8" s="26" t="str">
        <x:v>Bouwmaat Alkmaar</x:v>
      </x:c>
      <x:c r="B8" s="33" t="n">
        <x:v>46206.416666666664</x:v>
      </x:c>
      <x:c r="C8" s="27" t="str">
        <x:v>Bouwmaat Uitvulplaat Blauw 4mm 48st</x:v>
      </x:c>
      <x:c r="D8" s="27" t="str">
        <x:v>gereedschap</x:v>
      </x:c>
      <x:c r="E8" s="27" t="str">
        <x:v>gereedschap</x:v>
      </x:c>
      <x:c r="F8" s="27" t="str">
        <x:v>overig</x:v>
      </x:c>
      <x:c r="G8" s="27" t="str">
        <x:v>materiaal</x:v>
      </x:c>
      <x:c r="H8" s="36" t="n">
        <x:v>0.03</x:v>
      </x:c>
      <x:c r="I8" s="27" t="str">
        <x:v>waarschijnlijk fout</x:v>
      </x:c>
      <x:c r="J8" s="27" t="str">
        <x:v>Verbruikbaar montage-/stelmateriaal.</x:v>
      </x:c>
      <x:c r="K8" s="28" t="str">
        <x:v>fb6c5007-298d-410d-9ce2-f75d7fcfaa5c</x:v>
      </x:c>
    </x:row>
    <x:row r="9">
      <x:c r="A9" s="26" t="str">
        <x:v>Bouwmaat Alkmaar</x:v>
      </x:c>
      <x:c r="B9" s="33" t="n">
        <x:v>46206.416666666664</x:v>
      </x:c>
      <x:c r="C9" s="27" t="str">
        <x:v>Bouwmaat Uitvulplaat Rood 5mm 48st</x:v>
      </x:c>
      <x:c r="D9" s="27" t="str">
        <x:v>gereedschap</x:v>
      </x:c>
      <x:c r="E9" s="27" t="str">
        <x:v>gereedschap</x:v>
      </x:c>
      <x:c r="F9" s="27" t="str">
        <x:v>overig</x:v>
      </x:c>
      <x:c r="G9" s="27" t="str">
        <x:v>materiaal</x:v>
      </x:c>
      <x:c r="H9" s="36" t="n">
        <x:v>0.03</x:v>
      </x:c>
      <x:c r="I9" s="27" t="str">
        <x:v>waarschijnlijk fout</x:v>
      </x:c>
      <x:c r="J9" s="27" t="str">
        <x:v>Verbruikbaar montage-/stelmateriaal.</x:v>
      </x:c>
      <x:c r="K9" s="28" t="str">
        <x:v>fb6c5007-298d-410d-9ce2-f75d7fcfaa5c</x:v>
      </x:c>
    </x:row>
    <x:row r="10">
      <x:c r="A10" s="26" t="str">
        <x:v>Bouwmaat Alkmaar</x:v>
      </x:c>
      <x:c r="B10" s="33" t="n">
        <x:v>46206.416666666664</x:v>
      </x:c>
      <x:c r="C10" s="27" t="str">
        <x:v>Bouwmaat Uitvulplaat Wit 1mm 96st</x:v>
      </x:c>
      <x:c r="D10" s="27" t="str">
        <x:v>gereedschap</x:v>
      </x:c>
      <x:c r="E10" s="27" t="str">
        <x:v>gereedschap</x:v>
      </x:c>
      <x:c r="F10" s="27" t="str">
        <x:v>overig</x:v>
      </x:c>
      <x:c r="G10" s="27" t="str">
        <x:v>materiaal</x:v>
      </x:c>
      <x:c r="H10" s="36" t="n">
        <x:v>0.03</x:v>
      </x:c>
      <x:c r="I10" s="27" t="str">
        <x:v>waarschijnlijk fout</x:v>
      </x:c>
      <x:c r="J10" s="27" t="str">
        <x:v>Verbruikbaar montage-/stelmateriaal.</x:v>
      </x:c>
      <x:c r="K10" s="28" t="str">
        <x:v>fb6c5007-298d-410d-9ce2-f75d7fcfaa5c</x:v>
      </x:c>
    </x:row>
    <x:row r="11">
      <x:c r="A11" s="26" t="str">
        <x:v>Bouwmaat Alkmaar</x:v>
      </x:c>
      <x:c r="B11" s="33" t="n">
        <x:v>46206.416666666664</x:v>
      </x:c>
      <x:c r="C11" s="27" t="str">
        <x:v>Bouwmaat Uitvulplaat Zwart 3mm 48st</x:v>
      </x:c>
      <x:c r="D11" s="27" t="str">
        <x:v>gereedschap</x:v>
      </x:c>
      <x:c r="E11" s="27" t="str">
        <x:v>gereedschap</x:v>
      </x:c>
      <x:c r="F11" s="27" t="str">
        <x:v>overig</x:v>
      </x:c>
      <x:c r="G11" s="27" t="str">
        <x:v>materiaal</x:v>
      </x:c>
      <x:c r="H11" s="36" t="n">
        <x:v>0.03</x:v>
      </x:c>
      <x:c r="I11" s="27" t="str">
        <x:v>waarschijnlijk fout</x:v>
      </x:c>
      <x:c r="J11" s="27" t="str">
        <x:v>Verbruikbaar montage-/stelmateriaal.</x:v>
      </x:c>
      <x:c r="K11" s="28" t="str">
        <x:v>fb6c5007-298d-410d-9ce2-f75d7fcfaa5c</x:v>
      </x:c>
    </x:row>
    <x:row r="12">
      <x:c r="A12" s="26" t="str">
        <x:v>Bouwmaat Amsterdam Amstel XL</x:v>
      </x:c>
      <x:c r="B12" s="33" t="n">
        <x:v>46234.416666666664</x:v>
      </x:c>
      <x:c r="C12" s="27" t="str">
        <x:v>Inzetbak tbv Verfbak Grijs 24x32cm 5st</x:v>
      </x:c>
      <x:c r="D12" s="27" t="str">
        <x:v>materiaal</x:v>
      </x:c>
      <x:c r="E12" s="27" t="str">
        <x:v>materiaal</x:v>
      </x:c>
      <x:c r="F12" s="27" t="str">
        <x:v>overig</x:v>
      </x:c>
      <x:c r="G12" s="27" t="str">
        <x:v>gereedschap</x:v>
      </x:c>
      <x:c r="H12" s="36" t="n">
        <x:v>0.03</x:v>
      </x:c>
      <x:c r="I12" s="27" t="str">
        <x:v>waarschijnlijk fout</x:v>
      </x:c>
      <x:c r="J12" s="27" t="str">
        <x:v>Herbruikbaar handgereedschap of schildersgereedschap.</x:v>
      </x:c>
      <x:c r="K12" s="28" t="str">
        <x:v>e3c32ffe-91fa-4e9d-9b2d-3313ee46a50b</x:v>
      </x:c>
    </x:row>
    <x:row r="13">
      <x:c r="A13" s="26" t="str">
        <x:v>Bouwmaat Huizen B.V.</x:v>
      </x:c>
      <x:c r="B13" s="33" t="n">
        <x:v>46254.416666666664</x:v>
      </x:c>
      <x:c r="C13" s="27" t="str">
        <x:v>Douwe Egberts Koffie Snelfiltermaling, 500 gr</x:v>
      </x:c>
      <x:c r="D13" s="27" t="str">
        <x:v>overig</x:v>
      </x:c>
      <x:c r="E13" s="27" t="str">
        <x:v>overig</x:v>
      </x:c>
      <x:c r="F13" s="27" t="str">
        <x:v>(niet gekoppeld)</x:v>
      </x:c>
      <x:c r="G13" s="27" t="str">
        <x:v>eigen_verbruik</x:v>
      </x:c>
      <x:c r="H13" s="36" t="n">
        <x:v>0.05</x:v>
      </x:c>
      <x:c r="I13" s="27" t="str">
        <x:v>waarschijnlijk fout</x:v>
      </x:c>
      <x:c r="J13" s="27" t="str">
        <x:v>Eten, drinken of privéartikel; geen bouwmateriaal/gereedschap.</x:v>
      </x:c>
      <x:c r="K13" s="28" t="str">
        <x:v>48935a77-e48b-4ed6-b397-a7c43294778e</x:v>
      </x:c>
    </x:row>
    <x:row r="14">
      <x:c r="A14" s="26" t="str">
        <x:v>Bouwmaat Huizen B.V.</x:v>
      </x:c>
      <x:c r="B14" s="33" t="n">
        <x:v>46255.416666666664</x:v>
      </x:c>
      <x:c r="C14" s="27" t="str">
        <x:v>Bostik Maatemmer 10L</x:v>
      </x:c>
      <x:c r="D14" s="27" t="str">
        <x:v>materiaal</x:v>
      </x:c>
      <x:c r="E14" s="27" t="str">
        <x:v>materiaal</x:v>
      </x:c>
      <x:c r="F14" s="27" t="str">
        <x:v>(niet gekoppeld)</x:v>
      </x:c>
      <x:c r="G14" s="27" t="str">
        <x:v>gereedschap</x:v>
      </x:c>
      <x:c r="H14" s="36" t="n">
        <x:v>0.03</x:v>
      </x:c>
      <x:c r="I14" s="27" t="str">
        <x:v>waarschijnlijk fout</x:v>
      </x:c>
      <x:c r="J14" s="27" t="str">
        <x:v>Herbruikbaar handgereedschap of schildersgereedschap.</x:v>
      </x:c>
      <x:c r="K14" s="28" t="str">
        <x:v>6902de15-8d02-4c21-95d8-97c3dbd11e0a</x:v>
      </x:c>
    </x:row>
    <x:row r="15">
      <x:c r="A15" s="26" t="str">
        <x:v>Bouwmaat Huizen B.V.</x:v>
      </x:c>
      <x:c r="B15" s="33" t="n">
        <x:v>46255.416666666664</x:v>
      </x:c>
      <x:c r="C15" s="27" t="str">
        <x:v>Vero Bezemsteel Hout 1500x28mm</x:v>
      </x:c>
      <x:c r="D15" s="27" t="str">
        <x:v>materiaal</x:v>
      </x:c>
      <x:c r="E15" s="27" t="str">
        <x:v>materiaal</x:v>
      </x:c>
      <x:c r="F15" s="27" t="str">
        <x:v>(niet gekoppeld)</x:v>
      </x:c>
      <x:c r="G15" s="27" t="str">
        <x:v>gereedschap</x:v>
      </x:c>
      <x:c r="H15" s="36" t="n">
        <x:v>0.03</x:v>
      </x:c>
      <x:c r="I15" s="27" t="str">
        <x:v>waarschijnlijk fout</x:v>
      </x:c>
      <x:c r="J15" s="27" t="str">
        <x:v>Herbruikbaar handgereedschap of schildersgereedschap.</x:v>
      </x:c>
      <x:c r="K15" s="28" t="str">
        <x:v>6902de15-8d02-4c21-95d8-97c3dbd11e0a</x:v>
      </x:c>
    </x:row>
    <x:row r="16">
      <x:c r="A16" s="26" t="str">
        <x:v>Bouwmaat Huizen B.V.</x:v>
      </x:c>
      <x:c r="B16" s="33" t="n">
        <x:v>46255.416666666664</x:v>
      </x:c>
      <x:c r="C16" s="27" t="str">
        <x:v>Vero Bouwstoffer 1321 hout met cocos vezels</x:v>
      </x:c>
      <x:c r="D16" s="27" t="str">
        <x:v>materiaal</x:v>
      </x:c>
      <x:c r="E16" s="27" t="str">
        <x:v>materiaal</x:v>
      </x:c>
      <x:c r="F16" s="27" t="str">
        <x:v>(niet gekoppeld)</x:v>
      </x:c>
      <x:c r="G16" s="27" t="str">
        <x:v>gereedschap</x:v>
      </x:c>
      <x:c r="H16" s="36" t="n">
        <x:v>0.03</x:v>
      </x:c>
      <x:c r="I16" s="27" t="str">
        <x:v>waarschijnlijk fout</x:v>
      </x:c>
      <x:c r="J16" s="27" t="str">
        <x:v>Herbruikbaar handgereedschap of schildersgereedschap.</x:v>
      </x:c>
      <x:c r="K16" s="28" t="str">
        <x:v>6902de15-8d02-4c21-95d8-97c3dbd11e0a</x:v>
      </x:c>
    </x:row>
    <x:row r="17">
      <x:c r="A17" s="26" t="str">
        <x:v>Bouwmaat Huizen B.V.</x:v>
      </x:c>
      <x:c r="B17" s="33" t="n">
        <x:v>46255.416666666664</x:v>
      </x:c>
      <x:c r="C17" s="27" t="str">
        <x:v>Vero Outdoor Bezem hout kokos lengte: 40 cm</x:v>
      </x:c>
      <x:c r="D17" s="27" t="str">
        <x:v>materiaal</x:v>
      </x:c>
      <x:c r="E17" s="27" t="str">
        <x:v>materiaal</x:v>
      </x:c>
      <x:c r="F17" s="27" t="str">
        <x:v>(niet gekoppeld)</x:v>
      </x:c>
      <x:c r="G17" s="27" t="str">
        <x:v>gereedschap</x:v>
      </x:c>
      <x:c r="H17" s="36" t="n">
        <x:v>0.03</x:v>
      </x:c>
      <x:c r="I17" s="27" t="str">
        <x:v>waarschijnlijk fout</x:v>
      </x:c>
      <x:c r="J17" s="27" t="str">
        <x:v>Herbruikbaar handgereedschap of schildersgereedschap.</x:v>
      </x:c>
      <x:c r="K17" s="28" t="str">
        <x:v>6902de15-8d02-4c21-95d8-97c3dbd11e0a</x:v>
      </x:c>
    </x:row>
    <x:row r="18">
      <x:c r="A18" s="26" t="str">
        <x:v>Derks Lease</x:v>
      </x:c>
      <x:c r="B18" s="33" t="n">
        <x:v>46254.416666666664</x:v>
      </x:c>
      <x:c r="C18" s="27" t="str">
        <x:v>Administratiekosten boete (kenmerk 5062542283801331)</x:v>
      </x:c>
      <x:c r="D18" s="27" t="str">
        <x:v>overig</x:v>
      </x:c>
      <x:c r="E18" s="27" t="str">
        <x:v>boetes</x:v>
      </x:c>
      <x:c r="F18" s="27" t="str">
        <x:v>(niet gekoppeld)</x:v>
      </x:c>
      <x:c r="G18" s="27" t="str">
        <x:v>boetes</x:v>
      </x:c>
      <x:c r="H18" s="36" t="n">
        <x:v>0.01</x:v>
      </x:c>
      <x:c r="I18" s="27" t="str">
        <x:v>waarschijnlijk fout</x:v>
      </x:c>
      <x:c r="J18" s="27" t="str">
        <x:v>Boete of directe administratiekosten van een boete.</x:v>
      </x:c>
      <x:c r="K18" s="28" t="str">
        <x:v>84e2e8c3-c202-4893-a2af-58ef6c513111</x:v>
      </x:c>
    </x:row>
    <x:row r="19">
      <x:c r="A19" s="26" t="str">
        <x:v>Derks Lease</x:v>
      </x:c>
      <x:c r="B19" s="33" t="n">
        <x:v>46254.416666666664</x:v>
      </x:c>
      <x:c r="C19" s="27" t="str">
        <x:v>Verkeersboete CJIB (kenmerk 5062542283801331) – 13 km/u te hard op autosnelweg buiten bebouwde kom (A10 Links tussen Coentunnel en de Nieuwe Meer)</x:v>
      </x:c>
      <x:c r="D19" s="27" t="str">
        <x:v>overig</x:v>
      </x:c>
      <x:c r="E19" s="27" t="str">
        <x:v>boetes</x:v>
      </x:c>
      <x:c r="F19" s="27" t="str">
        <x:v>(niet gekoppeld)</x:v>
      </x:c>
      <x:c r="G19" s="27" t="str">
        <x:v>boetes</x:v>
      </x:c>
      <x:c r="H19" s="36" t="n">
        <x:v>0.01</x:v>
      </x:c>
      <x:c r="I19" s="27" t="str">
        <x:v>waarschijnlijk fout</x:v>
      </x:c>
      <x:c r="J19" s="27" t="str">
        <x:v>Boete of directe administratiekosten van een boete.</x:v>
      </x:c>
      <x:c r="K19" s="28" t="str">
        <x:v>84e2e8c3-c202-4893-a2af-58ef6c513111</x:v>
      </x:c>
    </x:row>
    <x:row r="20">
      <x:c r="A20" s="26" t="str">
        <x:v>Derkslease</x:v>
      </x:c>
      <x:c r="B20" s="33" t="n">
        <x:v>46163.416666666664</x:v>
      </x:c>
      <x:c r="C20" s="27" t="str">
        <x:v>Opel Vivaro (gb) 1.5d l3h1 hl selection 75kW (kenteken VDD-37-F) - periode 21-05-2026 t/m 31-05-2026</x:v>
      </x:c>
      <x:c r="D20" s="27" t="str">
        <x:v>materiaal</x:v>
      </x:c>
      <x:c r="E20" s="27" t="str">
        <x:v>autokosten</x:v>
      </x:c>
      <x:c r="F20" s="27" t="str">
        <x:v>overig</x:v>
      </x:c>
      <x:c r="G20" s="27" t="str">
        <x:v>autokosten</x:v>
      </x:c>
      <x:c r="H20" s="36" t="n">
        <x:v>0.01</x:v>
      </x:c>
      <x:c r="I20" s="27" t="str">
        <x:v>waarschijnlijk fout</x:v>
      </x:c>
      <x:c r="J20" s="27" t="str">
        <x:v>Lease-/huurtermijn van de bedrijfsbus.</x:v>
      </x:c>
      <x:c r="K20" s="28" t="str">
        <x:v>d94c2381-10bd-4f36-a028-fe39cf61ea0f</x:v>
      </x:c>
    </x:row>
    <x:row r="21">
      <x:c r="A21" s="26" t="str">
        <x:v>Derkslease</x:v>
      </x:c>
      <x:c r="B21" s="33" t="n">
        <x:v>46203.416666666664</x:v>
      </x:c>
      <x:c r="C21" s="27" t="str">
        <x:v>Termijn lease/huur Opel Vivaro (kenteken VDD-37-F), contract 2898, periode 01-06-2026 t/m 30-06-2026</x:v>
      </x:c>
      <x:c r="D21" s="27" t="str">
        <x:v>gereedschap</x:v>
      </x:c>
      <x:c r="E21" s="27" t="str">
        <x:v>autokosten</x:v>
      </x:c>
      <x:c r="F21" s="27" t="str">
        <x:v>overig</x:v>
      </x:c>
      <x:c r="G21" s="27" t="str">
        <x:v>autokosten</x:v>
      </x:c>
      <x:c r="H21" s="36" t="n">
        <x:v>0.01</x:v>
      </x:c>
      <x:c r="I21" s="27" t="str">
        <x:v>waarschijnlijk fout</x:v>
      </x:c>
      <x:c r="J21" s="27" t="str">
        <x:v>Lease-/huurtermijn van de bedrijfsbus.</x:v>
      </x:c>
      <x:c r="K21" s="28" t="str">
        <x:v>7f43e3b4-7dcb-40da-92f0-f30b564a1df4</x:v>
      </x:c>
    </x:row>
    <x:row r="22">
      <x:c r="A22" s="26" t="str">
        <x:v>Derkslease</x:v>
      </x:c>
      <x:c r="B22" s="33" t="n">
        <x:v>46204.416666666664</x:v>
      </x:c>
      <x:c r="C22" s="27" t="str">
        <x:v>Lease termijnbedrag Opel Vivaro (gb) 1.5d l3h1 hl selection 75kW, periode 01-07-2026 t/m 31-07-2026</x:v>
      </x:c>
      <x:c r="D22" s="27" t="str">
        <x:v>brandstof</x:v>
      </x:c>
      <x:c r="E22" s="27" t="str">
        <x:v>autokosten</x:v>
      </x:c>
      <x:c r="F22" s="27" t="str">
        <x:v>overig</x:v>
      </x:c>
      <x:c r="G22" s="27" t="str">
        <x:v>autokosten</x:v>
      </x:c>
      <x:c r="H22" s="36" t="n">
        <x:v>0.01</x:v>
      </x:c>
      <x:c r="I22" s="27" t="str">
        <x:v>waarschijnlijk fout</x:v>
      </x:c>
      <x:c r="J22" s="27" t="str">
        <x:v>Lease-/huurtermijn van de bedrijfsbus.</x:v>
      </x:c>
      <x:c r="K22" s="28" t="str">
        <x:v>9f233815-3cb7-4dce-ae7a-e3a64a07ccfc</x:v>
      </x:c>
    </x:row>
    <x:row r="23">
      <x:c r="A23" s="26" t="str">
        <x:v>DerksLease</x:v>
      </x:c>
      <x:c r="B23" s="33" t="n">
        <x:v>46235.416666666664</x:v>
      </x:c>
      <x:c r="C23" s="27" t="str">
        <x:v>Lease termijn kenteken VDD-37-F (Opel Vivaro (gb) 1.5d l3h1 hl selection 75kW) periode 01-08-2026 t/m 31-08-2026 (contract 2898)</x:v>
      </x:c>
      <x:c r="D23" s="27" t="str">
        <x:v>overig</x:v>
      </x:c>
      <x:c r="E23" s="27" t="str">
        <x:v>autokosten</x:v>
      </x:c>
      <x:c r="F23" s="27" t="str">
        <x:v>overig</x:v>
      </x:c>
      <x:c r="G23" s="27" t="str">
        <x:v>autokosten</x:v>
      </x:c>
      <x:c r="H23" s="36" t="n">
        <x:v>0.01</x:v>
      </x:c>
      <x:c r="I23" s="27" t="str">
        <x:v>waarschijnlijk fout</x:v>
      </x:c>
      <x:c r="J23" s="27" t="str">
        <x:v>Lease-/huurtermijn van de bedrijfsbus.</x:v>
      </x:c>
      <x:c r="K23" s="28" t="str">
        <x:v>edba7ea5-e658-4360-877b-491547a4188a</x:v>
      </x:c>
    </x:row>
    <x:row r="24">
      <x:c r="A24" s="26" t="str">
        <x:v>DSG Bouwmaten B.V. (Bouwmaat Nieuwegein)</x:v>
      </x:c>
      <x:c r="B24" s="33" t="n">
        <x:v>46246.416666666664</x:v>
      </x:c>
      <x:c r="C24" s="27" t="str">
        <x:v>Bounty melk 57gr</x:v>
      </x:c>
      <x:c r="D24" s="27" t="str">
        <x:v>overig</x:v>
      </x:c>
      <x:c r="E24" s="27" t="str">
        <x:v>overig</x:v>
      </x:c>
      <x:c r="F24" s="27" t="str">
        <x:v>overig</x:v>
      </x:c>
      <x:c r="G24" s="27" t="str">
        <x:v>eigen_verbruik</x:v>
      </x:c>
      <x:c r="H24" s="36" t="n">
        <x:v>0.05</x:v>
      </x:c>
      <x:c r="I24" s="27" t="str">
        <x:v>waarschijnlijk fout</x:v>
      </x:c>
      <x:c r="J24" s="27" t="str">
        <x:v>Eten, drinken of privéartikel; geen bouwmateriaal/gereedschap.</x:v>
      </x:c>
      <x:c r="K24" s="28" t="str">
        <x:v>f2002abf-dc48-4a70-8a27-9ad06e3084b5</x:v>
      </x:c>
    </x:row>
    <x:row r="25">
      <x:c r="A25" s="26" t="str">
        <x:v>GAMMA</x:v>
      </x:c>
      <x:c r="B25" s="33" t="n">
        <x:v>46242.416666666664</x:v>
      </x:c>
      <x:c r="C25" s="27" t="str">
        <x:v>Wall charger 20W USB-C</x:v>
      </x:c>
      <x:c r="D25" s="27" t="str">
        <x:v>materiaal</x:v>
      </x:c>
      <x:c r="E25" s="27" t="str">
        <x:v>materiaal</x:v>
      </x:c>
      <x:c r="F25" s="27" t="str">
        <x:v>overig</x:v>
      </x:c>
      <x:c r="G25" s="27" t="str">
        <x:v>telefoon</x:v>
      </x:c>
      <x:c r="H25" s="36" t="n">
        <x:v>0.05</x:v>
      </x:c>
      <x:c r="I25" s="27" t="str">
        <x:v>waarschijnlijk fout</x:v>
      </x:c>
      <x:c r="J25" s="27" t="str">
        <x:v>Telefoonlader/-kabel.</x:v>
      </x:c>
      <x:c r="K25" s="28" t="str">
        <x:v>c73ce8c4-41d4-4006-bb9f-f5ee4ae8ba3c</x:v>
      </x:c>
    </x:row>
    <x:row r="26">
      <x:c r="A26" s="26" t="str">
        <x:v>GAMMA</x:v>
      </x:c>
      <x:c r="B26" s="33" t="n">
        <x:v>46243.416666666664</x:v>
      </x:c>
      <x:c r="C26" s="27" t="str">
        <x:v>Fanta Orange 50cl + statiegeld</x:v>
      </x:c>
      <x:c r="D26" s="27" t="str">
        <x:v>overig</x:v>
      </x:c>
      <x:c r="E26" s="27" t="str">
        <x:v>overig</x:v>
      </x:c>
      <x:c r="F26" s="27" t="str">
        <x:v>overig</x:v>
      </x:c>
      <x:c r="G26" s="27" t="str">
        <x:v>eigen_verbruik</x:v>
      </x:c>
      <x:c r="H26" s="36" t="n">
        <x:v>0.05</x:v>
      </x:c>
      <x:c r="I26" s="27" t="str">
        <x:v>waarschijnlijk fout</x:v>
      </x:c>
      <x:c r="J26" s="27" t="str">
        <x:v>Eten, drinken of privéartikel; geen bouwmateriaal/gereedschap.</x:v>
      </x:c>
      <x:c r="K26" s="28" t="str">
        <x:v>aac15872-8dcb-467c-8cad-783171377439</x:v>
      </x:c>
    </x:row>
    <x:row r="27">
      <x:c r="A27" s="26" t="str">
        <x:v>GAMMA</x:v>
      </x:c>
      <x:c r="B27" s="33" t="n">
        <x:v>46243.416666666664</x:v>
      </x:c>
      <x:c r="C27" s="27" t="str">
        <x:v>Moersleutel Suki 250mm</x:v>
      </x:c>
      <x:c r="D27" s="27" t="str">
        <x:v>materiaal</x:v>
      </x:c>
      <x:c r="E27" s="27" t="str">
        <x:v>materiaal</x:v>
      </x:c>
      <x:c r="F27" s="27" t="str">
        <x:v>overig</x:v>
      </x:c>
      <x:c r="G27" s="27" t="str">
        <x:v>gereedschap</x:v>
      </x:c>
      <x:c r="H27" s="36" t="n">
        <x:v>0.03</x:v>
      </x:c>
      <x:c r="I27" s="27" t="str">
        <x:v>waarschijnlijk fout</x:v>
      </x:c>
      <x:c r="J27" s="27" t="str">
        <x:v>Herbruikbaar handgereedschap of schildersgereedschap.</x:v>
      </x:c>
      <x:c r="K27" s="28" t="str">
        <x:v>75fafd11-1ec0-414c-9c74-0feb94252623</x:v>
      </x:c>
    </x:row>
    <x:row r="28">
      <x:c r="A28" s="26" t="str">
        <x:v>GAMMA</x:v>
      </x:c>
      <x:c r="B28" s="33" t="n">
        <x:v>46252.416666666664</x:v>
      </x:c>
      <x:c r="C28" s="27" t="str">
        <x:v>ANZA Premium Universal Flat 50mm</x:v>
      </x:c>
      <x:c r="D28" s="27" t="str">
        <x:v>materiaal</x:v>
      </x:c>
      <x:c r="E28" s="27" t="str">
        <x:v>materiaal</x:v>
      </x:c>
      <x:c r="F28" s="27" t="str">
        <x:v>overig</x:v>
      </x:c>
      <x:c r="G28" s="27" t="str">
        <x:v>gereedschap</x:v>
      </x:c>
      <x:c r="H28" s="36" t="n">
        <x:v>0.03</x:v>
      </x:c>
      <x:c r="I28" s="27" t="str">
        <x:v>waarschijnlijk fout</x:v>
      </x:c>
      <x:c r="J28" s="27" t="str">
        <x:v>Herbruikbaar handgereedschap of schildersgereedschap.</x:v>
      </x:c>
      <x:c r="K28" s="28" t="str">
        <x:v>0560cd4e-ef86-4dd8-8b5f-d429a38c6060</x:v>
      </x:c>
    </x:row>
    <x:row r="29">
      <x:c r="A29" s="26" t="str">
        <x:v>Kentekenmaken.nl</x:v>
      </x:c>
      <x:c r="B29" s="33" t="n">
        <x:v>46211.416666666664</x:v>
      </x:c>
      <x:c r="C29" s="27" t="str">
        <x:v>Witte kentekenplaat (auto) - tekst: VDD-37-F</x:v>
      </x:c>
      <x:c r="D29" s="27" t="str">
        <x:v>materiaal</x:v>
      </x:c>
      <x:c r="E29" s="27" t="str">
        <x:v>materiaal</x:v>
      </x:c>
      <x:c r="F29" s="27" t="str">
        <x:v>overig</x:v>
      </x:c>
      <x:c r="G29" s="27" t="str">
        <x:v>autokosten</x:v>
      </x:c>
      <x:c r="H29" s="36" t="n">
        <x:v>0.02</x:v>
      </x:c>
      <x:c r="I29" s="27" t="str">
        <x:v>waarschijnlijk fout</x:v>
      </x:c>
      <x:c r="J29" s="27" t="str">
        <x:v>Voertuiggebonden uitgave.</x:v>
      </x:c>
      <x:c r="K29" s="28" t="str">
        <x:v>dee5f041-b060-4738-b531-8a0dac7f891e</x:v>
      </x:c>
    </x:row>
    <x:row r="30">
      <x:c r="A30" s="26" t="str">
        <x:v>Koffie</x:v>
      </x:c>
      <x:c r="B30" s="33" t="n">
        <x:v>46223.416666666664</x:v>
      </x:c>
      <x:c r="C30" s="27" t="str">
        <x:v>Koffie</x:v>
      </x:c>
      <x:c r="D30" s="27" t="str">
        <x:v>materiaal</x:v>
      </x:c>
      <x:c r="E30" s="27" t="str">
        <x:v>materiaal</x:v>
      </x:c>
      <x:c r="F30" s="27" t="str">
        <x:v>overig</x:v>
      </x:c>
      <x:c r="G30" s="27" t="str">
        <x:v>eigen_verbruik</x:v>
      </x:c>
      <x:c r="H30" s="36" t="n">
        <x:v>0.05</x:v>
      </x:c>
      <x:c r="I30" s="27" t="str">
        <x:v>waarschijnlijk fout</x:v>
      </x:c>
      <x:c r="J30" s="27" t="str">
        <x:v>Eten, drinken of privéartikel; geen bouwmateriaal/gereedschap.</x:v>
      </x:c>
      <x:c r="K30" s="28" t="str">
        <x:v>d61eabed-ae09-403b-85b5-d1c7514b2797</x:v>
      </x:c>
    </x:row>
    <x:row r="31">
      <x:c r="A31" s="26" t="str">
        <x:v>MediaMarkt</x:v>
      </x:c>
      <x:c r="B31" s="33" t="n">
        <x:v>46220.416666666664</x:v>
      </x:c>
      <x:c r="C31" s="27" t="str">
        <x:v>Samsung EP-DX510JBEGEU USB-C naar USB-C (laadkabel)</x:v>
      </x:c>
      <x:c r="D31" s="27" t="str">
        <x:v>materiaal</x:v>
      </x:c>
      <x:c r="E31" s="27" t="str">
        <x:v>materiaal</x:v>
      </x:c>
      <x:c r="F31" s="27" t="str">
        <x:v>overig</x:v>
      </x:c>
      <x:c r="G31" s="27" t="str">
        <x:v>telefoon</x:v>
      </x:c>
      <x:c r="H31" s="36" t="n">
        <x:v>0.05</x:v>
      </x:c>
      <x:c r="I31" s="27" t="str">
        <x:v>waarschijnlijk fout</x:v>
      </x:c>
      <x:c r="J31" s="27" t="str">
        <x:v>Telefoonlader/-kabel.</x:v>
      </x:c>
      <x:c r="K31" s="28" t="str">
        <x:v>6e35d3b1-3f4a-4650-a659-571db042f297</x:v>
      </x:c>
    </x:row>
    <x:row r="32">
      <x:c r="A32" s="26" t="str">
        <x:v>MS* VIAAMSTERDAM Betaalautomaat AMSTERDAM 12-07-2026 10:06 Pas: 3789 - € 3,39</x:v>
      </x:c>
      <x:c r="B32" s="33" t="n">
        <x:v>46221.416666666664</x:v>
      </x:c>
      <x:c r="C32" s="27" t="str">
        <x:v>hotelkosten</x:v>
      </x:c>
      <x:c r="D32" s="27" t="str">
        <x:v>materiaal</x:v>
      </x:c>
      <x:c r="E32" s="27" t="str">
        <x:v>hotel</x:v>
      </x:c>
      <x:c r="F32" s="27" t="str">
        <x:v>overig</x:v>
      </x:c>
      <x:c r="G32" s="27" t="str">
        <x:v>hotel</x:v>
      </x:c>
      <x:c r="H32" s="36" t="n">
        <x:v>0.01</x:v>
      </x:c>
      <x:c r="I32" s="27" t="str">
        <x:v>waarschijnlijk fout</x:v>
      </x:c>
      <x:c r="J32" s="27" t="str">
        <x:v>Hotel-/verblijfskosten.</x:v>
      </x:c>
      <x:c r="K32" s="28" t="str">
        <x:v>081f740d-0063-40ff-a9aa-72adf5f73e96</x:v>
      </x:c>
    </x:row>
    <x:row r="33">
      <x:c r="A33" s="26" t="str">
        <x:v>TMC Dordrecht</x:v>
      </x:c>
      <x:c r="B33" s="33" t="n">
        <x:v>46248.416666666664</x:v>
      </x:c>
      <x:c r="C33" s="27" t="str">
        <x:v>Parkeren klant-werkbespreking (bon ontbreekt)</x:v>
      </x:c>
      <x:c r="D33" s="27" t="str">
        <x:v>overig</x:v>
      </x:c>
      <x:c r="E33" s="27" t="str">
        <x:v>overig</x:v>
      </x:c>
      <x:c r="F33" s="27" t="str">
        <x:v>overig</x:v>
      </x:c>
      <x:c r="G33" s="27" t="str">
        <x:v>autokosten</x:v>
      </x:c>
      <x:c r="H33" s="36" t="n">
        <x:v>0.1</x:v>
      </x:c>
      <x:c r="I33" s="27" t="str">
        <x:v>waarschijnlijk fout</x:v>
      </x:c>
      <x:c r="J33" s="27" t="str">
        <x:v>Parkeerkosten horen bij voertuig-/reiskosten.</x:v>
      </x:c>
      <x:c r="K33" s="28" t="str">
        <x:v>1a6e23c7-765a-4035-8909-a181de937b6a</x:v>
      </x:c>
    </x:row>
    <x:row r="34">
      <x:c r="A34" s="29" t="str">
        <x:v>Toolstation NL B.V.</x:v>
      </x:c>
      <x:c r="B34" s="34" t="n">
        <x:v>46223.416666666664</x:v>
      </x:c>
      <x:c r="C34" s="30" t="str">
        <x:v>Wago verbindingsklemmen</x:v>
      </x:c>
      <x:c r="D34" s="30" t="str">
        <x:v>gereedschap</x:v>
      </x:c>
      <x:c r="E34" s="30" t="str">
        <x:v>gereedschap</x:v>
      </x:c>
      <x:c r="F34" s="30" t="str">
        <x:v>overig</x:v>
      </x:c>
      <x:c r="G34" s="30" t="str">
        <x:v>materiaal</x:v>
      </x:c>
      <x:c r="H34" s="37" t="n">
        <x:v>0.02</x:v>
      </x:c>
      <x:c r="I34" s="30" t="str">
        <x:v>waarschijnlijk fout</x:v>
      </x:c>
      <x:c r="J34" s="30" t="str">
        <x:v>Elektrisch installatiemateriaal dat in het werk achterblijft.</x:v>
      </x:c>
      <x:c r="K34" s="31" t="str">
        <x:v>6514af44-ffd4-4150-b71a-fa2098cf40c2</x:v>
      </x:c>
    </x:row>
  </x:sheetData>
  <x:conditionalFormatting sqref="I2:I34">
    <x:cfRule type="containsText" dxfId="3" priority="1" operator="containsText" text="waarschijnlijk fout"/>
    <x:cfRule type="containsText" dxfId="4" priority="2" operator="containsText" text="handmatig beslissen"/>
    <x:cfRule type="containsText" dxfId="5" priority="3" operator="containsText" text="onvoldoende informatie"/>
  </x:conditionalFormatting>
  <x:pageMargins left="0.7" right="0.7" top="0.75" bottom="0.75" header="0.3" footer="0.3"/>
  <x:tableParts count="1">
    <x:tablePart xmlns:r="http://schemas.openxmlformats.org/officeDocument/2006/relationships" r:id="R31826fb565cc4e63"/>
  </x:tableParts>
</x:worksheet>
</file>