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38941d75648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envatting" sheetId="1" r:id="Rb4318bc8ffa645e2"/>
    <x:sheet xmlns:r="http://schemas.openxmlformats.org/officeDocument/2006/relationships" name="Werklijst" sheetId="2" r:id="R72d6261476fe43f7"/>
    <x:sheet xmlns:r="http://schemas.openxmlformats.org/officeDocument/2006/relationships" name="Benzinebonnen" sheetId="3" r:id="R244e1b67833042a5"/>
    <x:sheet xmlns:r="http://schemas.openxmlformats.org/officeDocument/2006/relationships" name="Geen document nodig" sheetId="4" r:id="R1a8a4dfa9d2246d8"/>
    <x:sheet xmlns:r="http://schemas.openxmlformats.org/officeDocument/2006/relationships" name="Uitgesloten" sheetId="5" r:id="R449a19fdbfab4df1"/>
    <x:sheet xmlns:r="http://schemas.openxmlformats.org/officeDocument/2006/relationships" name="Gmail-controle" sheetId="6" r:id="R8e2dea27428a49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€ #,##0.00"/>
    <x:numFmt numFmtId="201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B45309"/>
      <x:name val="Carlito"/>
    </x:font>
    <x:font>
      <x:i/>
      <x:sz val="11"/>
      <x:color rgb="FF0F766E"/>
      <x:name val="Carlito"/>
    </x:font>
    <x:font>
      <x:b/>
      <x:sz val="14"/>
      <x:color rgb="FF12211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2211D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DDF4EE"/>
      </x:patternFill>
    </x:fill>
    <x:fill>
      <x:patternFill patternType="solid">
        <x:fgColor rgb="FF12211D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DDF4EE"/>
      </x:patternFill>
    </x:fill>
  </x:fills>
  <x:borders count="1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D7E2DE"/>
      </x:right>
      <x:bottom style="thin">
        <x:color rgb="FFD7E2DE"/>
      </x:bottom>
    </x:border>
    <x:border>
      <x:left style="thin">
        <x:color rgb="FFD7E2DE"/>
      </x:left>
      <x:right style="thin">
        <x:color rgb="FFD7E2DE"/>
      </x:right>
      <x:bottom style="thin">
        <x:color rgb="FFD7E2DE"/>
      </x:bottom>
    </x:border>
    <x:border>
      <x:left style="thin">
        <x:color rgb="FFD7E2DE"/>
      </x:left>
      <x:bottom style="thin">
        <x:color rgb="FFD7E2DE"/>
      </x:bottom>
    </x:border>
    <x:border>
      <x:right style="thin">
        <x:color rgb="FFD7E2DE"/>
      </x:right>
      <x:top style="thin">
        <x:color rgb="FFD7E2DE"/>
      </x:top>
      <x:bottom style="thin">
        <x:color rgb="FFD7E2DE"/>
      </x:bottom>
    </x:border>
    <x:border>
      <x:left style="thin">
        <x:color rgb="FFD7E2DE"/>
      </x:left>
      <x:right style="thin">
        <x:color rgb="FFD7E2DE"/>
      </x:right>
      <x:top style="thin">
        <x:color rgb="FFD7E2DE"/>
      </x:top>
      <x:bottom style="thin">
        <x:color rgb="FFD7E2DE"/>
      </x:bottom>
    </x:border>
    <x:border>
      <x:left style="thin">
        <x:color rgb="FFD7E2DE"/>
      </x:left>
      <x:top style="thin">
        <x:color rgb="FFD7E2DE"/>
      </x:top>
      <x:bottom style="thin">
        <x:color rgb="FFD7E2DE"/>
      </x:bottom>
    </x:border>
    <x:border>
      <x:right style="thin">
        <x:color rgb="FFD7E2DE"/>
      </x:right>
      <x:top style="thin">
        <x:color rgb="FFD7E2DE"/>
      </x:top>
    </x:border>
    <x:border>
      <x:left style="thin">
        <x:color rgb="FFD7E2DE"/>
      </x:left>
      <x:right style="thin">
        <x:color rgb="FFD7E2DE"/>
      </x:right>
      <x:top style="thin">
        <x:color rgb="FFD7E2DE"/>
      </x:top>
    </x:border>
    <x:border>
      <x:left style="thin">
        <x:color rgb="FFD7E2DE"/>
      </x:left>
      <x:top style="thin">
        <x:color rgb="FFD7E2DE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200" fontId="7" fillId="10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9" borderId="2" xfId="0" applyNumberFormat="1" applyFont="1" applyFill="1" applyBorder="1" applyAlignment="1">
      <x:alignment vertical="center"/>
    </x:xf>
    <x:xf numFmtId="0" fontId="3" fillId="9" borderId="3" xfId="0" applyNumberFormat="1" applyFont="1" applyFill="1" applyBorder="1" applyAlignment="1">
      <x:alignment vertical="center"/>
    </x:xf>
    <x:xf numFmtId="0" fontId="3" fillId="9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201" fontId="0" fillId="0" borderId="6" xfId="0" applyNumberFormat="1" applyFont="1" applyFill="1" applyBorder="1" applyAlignment="1">
      <x:alignment vertical="top"/>
    </x:xf>
    <x:xf numFmtId="200" fontId="0" fillId="0" borderId="6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201" fontId="0" fillId="0" borderId="9" xfId="0" applyNumberFormat="1" applyFont="1" applyFill="1" applyBorder="1" applyAlignment="1">
      <x:alignment vertical="top"/>
    </x:xf>
    <x:xf numFmtId="200" fontId="0" fillId="0" borderId="9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0F766E"/>
      </x:font>
      <x:fill>
        <x:patternFill>
          <x:bgColor rgb="FFDDF4EE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0F766E"/>
      </x:font>
      <x:fill>
        <x:patternFill>
          <x:bgColor rgb="FFDDF4E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5895d251742fb" /><Relationship Type="http://schemas.openxmlformats.org/officeDocument/2006/relationships/theme" Target="/xl/theme/theme1.xml" Id="Rd6243e7cfdd64d80" /><Relationship Type="http://schemas.openxmlformats.org/officeDocument/2006/relationships/sharedStrings" Target="/xl/sharedStrings.xml" Id="R1a5f04697b444295" /><Relationship Type="http://schemas.openxmlformats.org/officeDocument/2006/relationships/worksheet" Target="/xl/worksheets/sheet1.xml" Id="Rb4318bc8ffa645e2" /><Relationship Type="http://schemas.openxmlformats.org/officeDocument/2006/relationships/worksheet" Target="/xl/worksheets/sheet2.xml" Id="R72d6261476fe43f7" /><Relationship Type="http://schemas.openxmlformats.org/officeDocument/2006/relationships/worksheet" Target="/xl/worksheets/sheet3.xml" Id="R244e1b67833042a5" /><Relationship Type="http://schemas.openxmlformats.org/officeDocument/2006/relationships/worksheet" Target="/xl/worksheets/sheet4.xml" Id="R1a8a4dfa9d2246d8" /><Relationship Type="http://schemas.openxmlformats.org/officeDocument/2006/relationships/worksheet" Target="/xl/worksheets/sheet5.xml" Id="R449a19fdbfab4df1" /><Relationship Type="http://schemas.openxmlformats.org/officeDocument/2006/relationships/worksheet" Target="/xl/worksheets/sheet6.xml" Id="R8e2dea27428a494b" /></Relationships>
</file>

<file path=xl/tables/table1.xml><?xml version="1.0" encoding="utf-8"?>
<x:table xmlns:x="http://schemas.openxmlformats.org/spreadsheetml/2006/main" id="1" name="SupplierSummaryTable" displayName="SupplierSummaryTable" ref="A14:C35" headerRowCount="1" totalsRowCount="0" totalsRowShown="0">
  <x:tableColumns count="3">
    <x:tableColumn id="1" name="Online leveranciersgroep"/>
    <x:tableColumn id="2" name="Aantal"/>
    <x:tableColumn id="3" name="Bedrag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MissingInvoiceWorkTable" displayName="MissingInvoiceWorkTable" ref="A6:I61" headerRowCount="1" totalsRowCount="0" totalsRowShown="0">
  <x:autoFilter ref="A6:I61"/>
  <x:tableColumns count="9">
    <x:tableColumn id="1" name="Status"/>
    <x:tableColumn id="2" name="Leveranciersgroep"/>
    <x:tableColumn id="3" name="Originele banknaam"/>
    <x:tableColumn id="4" name="Datum"/>
    <x:tableColumn id="5" name="Bedrag"/>
    <x:tableColumn id="6" name="Categorie"/>
    <x:tableColumn id="7" name="Project"/>
    <x:tableColumn id="8" name="Omschrijving"/>
    <x:tableColumn id="9" name="Notitie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PaperFuelReceiptTable" displayName="PaperFuelReceiptTable" ref="A6:H21" headerRowCount="1" totalsRowCount="0" totalsRowShown="0">
  <x:autoFilter ref="A6:H21"/>
  <x:tableColumns count="8">
    <x:tableColumn id="1" name="Status"/>
    <x:tableColumn id="2" name="Leveranciersgroep"/>
    <x:tableColumn id="3" name="Originele banknaam"/>
    <x:tableColumn id="4" name="Datum"/>
    <x:tableColumn id="5" name="Bedrag"/>
    <x:tableColumn id="6" name="Project"/>
    <x:tableColumn id="7" name="Omschrijving"/>
    <x:tableColumn id="8" name="Notitie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NoDocumentRequiredTable" displayName="NoDocumentRequiredTable" ref="A6:H10" headerRowCount="1" totalsRowCount="0" totalsRowShown="0">
  <x:autoFilter ref="A6:H10"/>
  <x:tableColumns count="8">
    <x:tableColumn id="1" name="Reden"/>
    <x:tableColumn id="2" name="Leveranciersgroep"/>
    <x:tableColumn id="3" name="Originele banknaam"/>
    <x:tableColumn id="4" name="Datum"/>
    <x:tableColumn id="5" name="Bedrag"/>
    <x:tableColumn id="6" name="Categorie"/>
    <x:tableColumn id="7" name="Project"/>
    <x:tableColumn id="8" name="Omschrijving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ExcludedInvoiceRowsTable" displayName="ExcludedInvoiceRowsTable" ref="A6:H19" headerRowCount="1" totalsRowCount="0" totalsRowShown="0">
  <x:tableColumns count="8">
    <x:tableColumn id="1" name="Reden"/>
    <x:tableColumn id="2" name="Leveranciersgroep"/>
    <x:tableColumn id="3" name="Originele banknaam"/>
    <x:tableColumn id="4" name="Datum"/>
    <x:tableColumn id="5" name="Bedrag"/>
    <x:tableColumn id="6" name="Categorie"/>
    <x:tableColumn id="7" name="Project"/>
    <x:tableColumn id="8" name="Omschrijving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GmailAuditTable" displayName="GmailAuditTable" ref="A7:L62" headerRowCount="1" totalsRowCount="0" totalsRowShown="0">
  <x:tableColumns count="12">
    <x:tableColumn id="1" name="Status"/>
    <x:tableColumn id="2" name="Leveranciersgroep"/>
    <x:tableColumn id="3" name="Originele banknaam"/>
    <x:tableColumn id="4" name="Datum"/>
    <x:tableColumn id="5" name="Bedrag"/>
    <x:tableColumn id="6" name="Categorie"/>
    <x:tableColumn id="7" name="Project"/>
    <x:tableColumn id="8" name="Bankomschrijving"/>
    <x:tableColumn id="9" name="E-mail"/>
    <x:tableColumn id="10" name="Bijlage(n)"/>
    <x:tableColumn id="11" name="Gmail-link"/>
    <x:tableColumn id="12" name="Controle-opmerking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914454e34d4b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0ef4aca7e748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af38277f27a4f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ce9fb974b5742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03a7074cd524a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24524b4896840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8" hidden="0" customWidth="1"/>
    <x:col min="3" max="3" width="18" hidden="0" customWidth="1"/>
  </x:cols>
  <x:sheetData>
    <x:row r="1" ht="30" customHeight="1">
      <x:c r="A1" s="3" t="str">
        <x:v>Ontbrekende facturen — overzicht</x:v>
      </x:c>
      <x:c r="B1" s="3"/>
      <x:c r="C1" s="3"/>
      <x:c r="D1" s="3"/>
      <x:c r="E1" s="3"/>
      <x:c r="F1" s="3"/>
    </x:row>
    <x:row r="2" ht="34" customHeight="1">
      <x:c r="A2" s="6" t="str">
        <x:v>De werklijst bevat alleen documenten die online terug te vinden moeten zijn. Papieren benzinebonnen staan apart.</x:v>
      </x:c>
      <x:c r="B2" s="6"/>
      <x:c r="C2" s="6"/>
      <x:c r="D2" s="6"/>
      <x:c r="E2" s="6"/>
      <x:c r="F2" s="6"/>
    </x:row>
    <x:row r="4">
      <x:c r="A4" s="8" t="str">
        <x:v>Controlepunt</x:v>
      </x:c>
      <x:c r="B4" s="8" t="str">
        <x:v>Waarde</x:v>
      </x:c>
    </x:row>
    <x:row r="5">
      <x:c r="A5" s="9" t="str">
        <x:v>Online transacties waarvoor nog een document nodig is</x:v>
      </x:c>
      <x:c r="B5" s="11" t="n">
        <x:f>COUNTA('Werklijst'!$B$7:$B$61)</x:f>
        <x:v>55</x:v>
      </x:c>
    </x:row>
    <x:row r="6">
      <x:c r="A6" s="9" t="str">
        <x:v>Totaal bedrag online werklijst</x:v>
      </x:c>
      <x:c r="B6" s="12" t="n">
        <x:f>SUM('Werklijst'!$E$7:$E$61)</x:f>
        <x:v>9556.159999999996</x:v>
      </x:c>
    </x:row>
    <x:row r="7">
      <x:c r="A7" s="9" t="str">
        <x:v>Nieuwe Gamma-pdf's nu gekoppeld</x:v>
      </x:c>
      <x:c r="B7" s="11" t="n">
        <x:v>2</x:v>
      </x:c>
    </x:row>
    <x:row r="8">
      <x:c r="A8" s="9" t="str">
        <x:v>Papieren benzinebonnen nog fotograferen</x:v>
      </x:c>
      <x:c r="B8" s="11" t="n">
        <x:f>COUNTA('Benzinebonnen'!$B$7:$B$21)</x:f>
        <x:v>15</x:v>
      </x:c>
    </x:row>
    <x:row r="9">
      <x:c r="A9" s="9" t="str">
        <x:v>Totaal bedrag papieren benzinebonnen</x:v>
      </x:c>
      <x:c r="B9" s="12" t="n">
        <x:f>SUM('Benzinebonnen'!$E$7:$E$21)</x:f>
        <x:v>1146.7199999999998</x:v>
      </x:c>
    </x:row>
    <x:row r="10">
      <x:c r="A10" s="9" t="str">
        <x:v>Tankbedragen onder €10 genegeerd</x:v>
      </x:c>
      <x:c r="B10" s="11" t="n">
        <x:f>COUNTA('Uitgesloten'!$B$7:$B$19)</x:f>
        <x:v>13</x:v>
      </x:c>
    </x:row>
    <x:row r="11">
      <x:c r="A11" s="9" t="str">
        <x:v>Kosten zonder documentplicht</x:v>
      </x:c>
      <x:c r="B11" s="11" t="n">
        <x:f>COUNTA('Geen document nodig'!$B$7:$B$10)</x:f>
        <x:v>4</x:v>
      </x:c>
    </x:row>
    <x:row r="12">
      <x:c r="A12" s="9" t="str">
        <x:v>Totaal kosten zonder documentplicht</x:v>
      </x:c>
      <x:c r="B12" s="12" t="n">
        <x:f>SUM('Geen document nodig'!$E$7:$E$10)</x:f>
        <x:v>1655.7200000000003</x:v>
      </x:c>
    </x:row>
    <x:row r="14">
      <x:c r="A14" s="8" t="str">
        <x:v>Online leveranciersgroep</x:v>
      </x:c>
      <x:c r="B14" s="8" t="str">
        <x:v>Aantal</x:v>
      </x:c>
      <x:c r="C14" s="8" t="str">
        <x:v>Bedrag</x:v>
      </x:c>
    </x:row>
    <x:row r="15">
      <x:c r="A15" s="9" t="str">
        <x:v>Booking.com</x:v>
      </x:c>
      <x:c r="B15" s="9" t="n">
        <x:f>COUNTIF('Werklijst'!$B$7:$B$61,A15)</x:f>
        <x:v>4</x:v>
      </x:c>
      <x:c r="C15" s="10" t="n">
        <x:f>SUMIF('Werklijst'!$B$7:$B$61,A15,'Werklijst'!$E$7:$E$61)</x:f>
        <x:v>78.73</x:v>
      </x:c>
    </x:row>
    <x:row r="16">
      <x:c r="A16" s="9" t="str">
        <x:v>Bouwmaat</x:v>
      </x:c>
      <x:c r="B16" s="9" t="n">
        <x:f>COUNTIF('Werklijst'!$B$7:$B$61,A16)</x:f>
        <x:v>11</x:v>
      </x:c>
      <x:c r="C16" s="10" t="n">
        <x:f>SUMIF('Werklijst'!$B$7:$B$61,A16,'Werklijst'!$E$7:$E$61)</x:f>
        <x:v>5608.26</x:v>
      </x:c>
    </x:row>
    <x:row r="17">
      <x:c r="A17" s="9" t="str">
        <x:v>Gemeente Diemen</x:v>
      </x:c>
      <x:c r="B17" s="9" t="n">
        <x:f>COUNTIF('Werklijst'!$B$7:$B$61,A17)</x:f>
        <x:v>4</x:v>
      </x:c>
      <x:c r="C17" s="10" t="n">
        <x:f>SUMIF('Werklijst'!$B$7:$B$61,A17,'Werklijst'!$E$7:$E$61)</x:f>
        <x:v>5.0200000000000005</x:v>
      </x:c>
    </x:row>
    <x:row r="18">
      <x:c r="A18" s="9" t="str">
        <x:v>GoCardless</x:v>
      </x:c>
      <x:c r="B18" s="9" t="n">
        <x:f>COUNTIF('Werklijst'!$B$7:$B$61,A18)</x:f>
        <x:v>1</x:v>
      </x:c>
      <x:c r="C18" s="10" t="n">
        <x:f>SUMIF('Werklijst'!$B$7:$B$61,A18,'Werklijst'!$E$7:$E$61)</x:f>
        <x:v>0.01</x:v>
      </x:c>
    </x:row>
    <x:row r="19">
      <x:c r="A19" s="9" t="str">
        <x:v>GSSP RIJSWIJK</x:v>
      </x:c>
      <x:c r="B19" s="9" t="n">
        <x:f>COUNTIF('Werklijst'!$B$7:$B$61,A19)</x:f>
        <x:v>1</x:v>
      </x:c>
      <x:c r="C19" s="10" t="n">
        <x:f>SUMIF('Werklijst'!$B$7:$B$61,A19,'Werklijst'!$E$7:$E$61)</x:f>
        <x:v>171.36</x:v>
      </x:c>
    </x:row>
    <x:row r="20">
      <x:c r="A20" s="9" t="str">
        <x:v>HomingXL</x:v>
      </x:c>
      <x:c r="B20" s="9" t="n">
        <x:f>COUNTIF('Werklijst'!$B$7:$B$61,A20)</x:f>
        <x:v>2</x:v>
      </x:c>
      <x:c r="C20" s="10" t="n">
        <x:f>SUMIF('Werklijst'!$B$7:$B$61,A20,'Werklijst'!$E$7:$E$61)</x:f>
        <x:v>1464.5</x:v>
      </x:c>
    </x:row>
    <x:row r="21">
      <x:c r="A21" s="9" t="str">
        <x:v>Karwei</x:v>
      </x:c>
      <x:c r="B21" s="9" t="n">
        <x:f>COUNTIF('Werklijst'!$B$7:$B$61,A21)</x:f>
        <x:v>1</x:v>
      </x:c>
      <x:c r="C21" s="10" t="n">
        <x:f>SUMIF('Werklijst'!$B$7:$B$61,A21,'Werklijst'!$E$7:$E$61)</x:f>
        <x:v>37.06</x:v>
      </x:c>
    </x:row>
    <x:row r="22">
      <x:c r="A22" s="9" t="str">
        <x:v>Kentekenplaten</x:v>
      </x:c>
      <x:c r="B22" s="9" t="n">
        <x:f>COUNTIF('Werklijst'!$B$7:$B$61,A22)</x:f>
        <x:v>1</x:v>
      </x:c>
      <x:c r="C22" s="10" t="n">
        <x:f>SUMIF('Werklijst'!$B$7:$B$61,A22,'Werklijst'!$E$7:$E$61)</x:f>
        <x:v>16.94</x:v>
      </x:c>
    </x:row>
    <x:row r="23">
      <x:c r="A23" s="9" t="str">
        <x:v>Knab</x:v>
      </x:c>
      <x:c r="B23" s="9" t="n">
        <x:f>COUNTIF('Werklijst'!$B$7:$B$61,A23)</x:f>
        <x:v>2</x:v>
      </x:c>
      <x:c r="C23" s="10" t="n">
        <x:f>SUMIF('Werklijst'!$B$7:$B$61,A23,'Werklijst'!$E$7:$E$61)</x:f>
        <x:v>5.1</x:v>
      </x:c>
    </x:row>
    <x:row r="24">
      <x:c r="A24" s="9" t="str">
        <x:v>KPN</x:v>
      </x:c>
      <x:c r="B24" s="9" t="n">
        <x:f>COUNTIF('Werklijst'!$B$7:$B$61,A24)</x:f>
        <x:v>2</x:v>
      </x:c>
      <x:c r="C24" s="10" t="n">
        <x:f>SUMIF('Werklijst'!$B$7:$B$61,A24,'Werklijst'!$E$7:$E$61)</x:f>
        <x:v>92.97999999999999</x:v>
      </x:c>
    </x:row>
    <x:row r="25">
      <x:c r="A25" s="9" t="str">
        <x:v>Moments&amp;More Veentje</x:v>
      </x:c>
      <x:c r="B25" s="9" t="n">
        <x:f>COUNTIF('Werklijst'!$B$7:$B$61,A25)</x:f>
        <x:v>1</x:v>
      </x:c>
      <x:c r="C25" s="10" t="n">
        <x:f>SUMIF('Werklijst'!$B$7:$B$61,A25,'Werklijst'!$E$7:$E$61)</x:f>
        <x:v>6.95</x:v>
      </x:c>
    </x:row>
    <x:row r="26">
      <x:c r="A26" s="9" t="str">
        <x:v>Parkeren</x:v>
      </x:c>
      <x:c r="B26" s="9" t="n">
        <x:f>COUNTIF('Werklijst'!$B$7:$B$61,A26)</x:f>
        <x:v>1</x:v>
      </x:c>
      <x:c r="C26" s="10" t="n">
        <x:f>SUMIF('Werklijst'!$B$7:$B$61,A26,'Werklijst'!$E$7:$E$61)</x:f>
        <x:v>2.69</x:v>
      </x:c>
    </x:row>
    <x:row r="27">
      <x:c r="A27" s="9" t="str">
        <x:v>Pivada</x:v>
      </x:c>
      <x:c r="B27" s="9" t="n">
        <x:f>COUNTIF('Werklijst'!$B$7:$B$61,A27)</x:f>
        <x:v>1</x:v>
      </x:c>
      <x:c r="C27" s="10" t="n">
        <x:f>SUMIF('Werklijst'!$B$7:$B$61,A27,'Werklijst'!$E$7:$E$61)</x:f>
        <x:v>211.5</x:v>
      </x:c>
    </x:row>
    <x:row r="28">
      <x:c r="A28" s="9" t="str">
        <x:v>Praxis</x:v>
      </x:c>
      <x:c r="B28" s="9" t="n">
        <x:f>COUNTIF('Werklijst'!$B$7:$B$61,A28)</x:f>
        <x:v>3</x:v>
      </x:c>
      <x:c r="C28" s="10" t="n">
        <x:f>SUMIF('Werklijst'!$B$7:$B$61,A28,'Werklijst'!$E$7:$E$61)</x:f>
        <x:v>78.25</x:v>
      </x:c>
    </x:row>
    <x:row r="29">
      <x:c r="A29" s="9" t="str">
        <x:v>Selecta</x:v>
      </x:c>
      <x:c r="B29" s="9" t="n">
        <x:f>COUNTIF('Werklijst'!$B$7:$B$61,A29)</x:f>
        <x:v>1</x:v>
      </x:c>
      <x:c r="C29" s="10" t="n">
        <x:f>SUMIF('Werklijst'!$B$7:$B$61,A29,'Werklijst'!$E$7:$E$61)</x:f>
        <x:v>3.65</x:v>
      </x:c>
    </x:row>
    <x:row r="30">
      <x:c r="A30" s="9" t="str">
        <x:v>Taffne Bv</x:v>
      </x:c>
      <x:c r="B30" s="9" t="n">
        <x:f>COUNTIF('Werklijst'!$B$7:$B$61,A30)</x:f>
        <x:v>1</x:v>
      </x:c>
      <x:c r="C30" s="10" t="n">
        <x:f>SUMIF('Werklijst'!$B$7:$B$61,A30,'Werklijst'!$E$7:$E$61)</x:f>
        <x:v>15</x:v>
      </x:c>
    </x:row>
    <x:row r="31">
      <x:c r="A31" s="9" t="str">
        <x:v>TMC*P-DORDRECHT-11020</x:v>
      </x:c>
      <x:c r="B31" s="9" t="n">
        <x:f>COUNTIF('Werklijst'!$B$7:$B$61,A31)</x:f>
        <x:v>1</x:v>
      </x:c>
      <x:c r="C31" s="10" t="n">
        <x:f>SUMIF('Werklijst'!$B$7:$B$61,A31,'Werklijst'!$E$7:$E$61)</x:f>
        <x:v>1.1</x:v>
      </x:c>
    </x:row>
    <x:row r="32">
      <x:c r="A32" s="9" t="str">
        <x:v>Toolstation</x:v>
      </x:c>
      <x:c r="B32" s="9" t="n">
        <x:f>COUNTIF('Werklijst'!$B$7:$B$61,A32)</x:f>
        <x:v>8</x:v>
      </x:c>
      <x:c r="C32" s="10" t="n">
        <x:f>SUMIF('Werklijst'!$B$7:$B$61,A32,'Werklijst'!$E$7:$E$61)</x:f>
        <x:v>1259.51</x:v>
      </x:c>
    </x:row>
    <x:row r="33">
      <x:c r="A33" s="9" t="str">
        <x:v>Van Brenen Transport</x:v>
      </x:c>
      <x:c r="B33" s="9" t="n">
        <x:f>COUNTIF('Werklijst'!$B$7:$B$61,A33)</x:f>
        <x:v>3</x:v>
      </x:c>
      <x:c r="C33" s="10" t="n">
        <x:f>SUMIF('Werklijst'!$B$7:$B$61,A33,'Werklijst'!$E$7:$E$61)</x:f>
        <x:v>167.41</x:v>
      </x:c>
    </x:row>
    <x:row r="34">
      <x:c r="A34" s="9" t="str">
        <x:v>VIA Amsterdam</x:v>
      </x:c>
      <x:c r="B34" s="9" t="n">
        <x:f>COUNTIF('Werklijst'!$B$7:$B$61,A34)</x:f>
        <x:v>5</x:v>
      </x:c>
      <x:c r="C34" s="10" t="n">
        <x:f>SUMIF('Werklijst'!$B$7:$B$61,A34,'Werklijst'!$E$7:$E$61)</x:f>
        <x:v>16.86</x:v>
      </x:c>
    </x:row>
    <x:row r="35">
      <x:c r="A35" s="9" t="str">
        <x:v>XXL Direct</x:v>
      </x:c>
      <x:c r="B35" s="9" t="n">
        <x:f>COUNTIF('Werklijst'!$B$7:$B$61,A35)</x:f>
        <x:v>1</x:v>
      </x:c>
      <x:c r="C35" s="10" t="n">
        <x:f>SUMIF('Werklijst'!$B$7:$B$61,A35,'Werklijst'!$E$7:$E$61)</x:f>
        <x:v>313.28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7914454e34d4b1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30" hidden="0" customWidth="1"/>
    <x:col min="4" max="4" width="14" hidden="0" customWidth="1"/>
    <x:col min="5" max="5" width="15" hidden="0" customWidth="1"/>
    <x:col min="6" max="6" width="16" hidden="0" customWidth="1"/>
    <x:col min="7" max="7" width="22" hidden="0" customWidth="1"/>
    <x:col min="8" max="8" width="54" hidden="0" customWidth="1"/>
    <x:col min="9" max="9" width="28" hidden="0" customWidth="1"/>
  </x:cols>
  <x:sheetData>
    <x:row r="1" ht="30" customHeight="1">
      <x:c r="A1" s="3" t="str">
        <x:v>Online facturen — werklijst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6" t="str">
        <x:v>Deze lijst bevat alleen documenten die online terug te vinden zijn. Zet de status op Ontvangen of Gekoppeld zodra het document in Calvora staat.</x:v>
      </x:c>
      <x:c r="B2" s="6"/>
      <x:c r="C2" s="6"/>
      <x:c r="D2" s="6"/>
      <x:c r="E2" s="6"/>
      <x:c r="F2" s="6"/>
      <x:c r="G2" s="6"/>
      <x:c r="H2" s="6"/>
      <x:c r="I2" s="6"/>
    </x:row>
    <x:row r="4">
      <x:c r="A4" s="14" t="str">
        <x:v>Papieren benzinebonnen, bunq-transacties en tankbedragen onder €10 staan niet in deze lijst.</x:v>
      </x:c>
      <x:c r="B4" s="14"/>
      <x:c r="C4" s="14"/>
      <x:c r="D4" s="14"/>
      <x:c r="E4" s="14"/>
      <x:c r="F4" s="14"/>
      <x:c r="G4" s="14"/>
      <x:c r="H4" s="14"/>
      <x:c r="I4" s="14"/>
    </x:row>
    <x:row r="6">
      <x:c r="A6" s="17" t="str">
        <x:v>Status</x:v>
      </x:c>
      <x:c r="B6" s="17" t="str">
        <x:v>Leveranciersgroep</x:v>
      </x:c>
      <x:c r="C6" s="17" t="str">
        <x:v>Originele banknaam</x:v>
      </x:c>
      <x:c r="D6" s="17" t="str">
        <x:v>Datum</x:v>
      </x:c>
      <x:c r="E6" s="17" t="str">
        <x:v>Bedrag</x:v>
      </x:c>
      <x:c r="F6" s="17" t="str">
        <x:v>Categorie</x:v>
      </x:c>
      <x:c r="G6" s="17" t="str">
        <x:v>Project</x:v>
      </x:c>
      <x:c r="H6" s="17" t="str">
        <x:v>Omschrijving</x:v>
      </x:c>
      <x:c r="I6" s="17" t="str">
        <x:v>Notities</x:v>
      </x:c>
    </x:row>
    <x:row r="7">
      <x:c r="A7" s="17" t="str">
        <x:v>Ontbreekt</x:v>
      </x:c>
      <x:c r="B7" s="17" t="str">
        <x:v>Booking.com</x:v>
      </x:c>
      <x:c r="C7" s="17" t="str">
        <x:v>Booking</x:v>
      </x:c>
      <x:c r="D7" s="18" t="n">
        <x:v>46258.416666666664</x:v>
      </x:c>
      <x:c r="E7" s="19" t="n">
        <x:v>19.68</x:v>
      </x:c>
      <x:c r="F7" s="17" t="str">
        <x:v>Hotel</x:v>
      </x:c>
      <x:c r="G7" s="17" t="str">
        <x:v>Niet gekoppeld</x:v>
      </x:c>
      <x:c r="H7" s="17" t="str">
        <x:v>HJKQ84TD7J88F8X32I2M1 7180424416861004 Hotel at Booking.com</x:v>
      </x:c>
      <x:c r="I7" s="17" t="str"/>
    </x:row>
    <x:row r="8">
      <x:c r="A8" s="17" t="str">
        <x:v>Ontbreekt</x:v>
      </x:c>
      <x:c r="B8" s="17" t="str">
        <x:v>Booking.com</x:v>
      </x:c>
      <x:c r="C8" s="17" t="str">
        <x:v>Booking</x:v>
      </x:c>
      <x:c r="D8" s="18" t="n">
        <x:v>46216.416666666664</x:v>
      </x:c>
      <x:c r="E8" s="19" t="n">
        <x:v>15.31</x:v>
      </x:c>
      <x:c r="F8" s="17" t="str">
        <x:v>Hotel</x:v>
      </x:c>
      <x:c r="G8" s="17" t="str">
        <x:v>Niet gekoppeld</x:v>
      </x:c>
      <x:c r="H8" s="17" t="str">
        <x:v>S7GZ9Q6KXV4ZQ4G62I2M1 7180154441980973 Hotel at Booking.com</x:v>
      </x:c>
      <x:c r="I8" s="17" t="str"/>
    </x:row>
    <x:row r="9">
      <x:c r="A9" s="17" t="str">
        <x:v>Ontbreekt</x:v>
      </x:c>
      <x:c r="B9" s="17" t="str">
        <x:v>Booking.com</x:v>
      </x:c>
      <x:c r="C9" s="17" t="str">
        <x:v>Booking</x:v>
      </x:c>
      <x:c r="D9" s="18" t="n">
        <x:v>46199.416666666664</x:v>
      </x:c>
      <x:c r="E9" s="19" t="n">
        <x:v>21.87</x:v>
      </x:c>
      <x:c r="F9" s="17" t="str">
        <x:v>Hotel</x:v>
      </x:c>
      <x:c r="G9" s="17" t="str">
        <x:v>Niet gekoppeld</x:v>
      </x:c>
      <x:c r="H9" s="17" t="str">
        <x:v>KLJ52Z26LRVQCWX32I2M1 7180144121536399 Hotel at Booking.com</x:v>
      </x:c>
      <x:c r="I9" s="17" t="str"/>
    </x:row>
    <x:row r="10">
      <x:c r="A10" s="17" t="str">
        <x:v>Ontbreekt</x:v>
      </x:c>
      <x:c r="B10" s="17" t="str">
        <x:v>Booking.com</x:v>
      </x:c>
      <x:c r="C10" s="17" t="str">
        <x:v>Booking</x:v>
      </x:c>
      <x:c r="D10" s="18" t="n">
        <x:v>46198.416666666664</x:v>
      </x:c>
      <x:c r="E10" s="19" t="n">
        <x:v>21.87</x:v>
      </x:c>
      <x:c r="F10" s="17" t="str">
        <x:v>Hotel</x:v>
      </x:c>
      <x:c r="G10" s="17" t="str">
        <x:v>Niet gekoppeld</x:v>
      </x:c>
      <x:c r="H10" s="17" t="str">
        <x:v>RGDGS29BFJ8XQQF32I2M1 7180016533720317 Hotel at Booking.com</x:v>
      </x:c>
      <x:c r="I10" s="17" t="str"/>
    </x:row>
    <x:row r="11">
      <x:c r="A11" s="17" t="str">
        <x:v>Ontbreekt</x:v>
      </x:c>
      <x:c r="B11" s="17" t="str">
        <x:v>Bouwmaat</x:v>
      </x:c>
      <x:c r="C11" s="17" t="str">
        <x:v>BCK*Bouwmaat Amstel</x:v>
      </x:c>
      <x:c r="D11" s="18" t="n">
        <x:v>46238.416666666664</x:v>
      </x:c>
      <x:c r="E11" s="19" t="n">
        <x:v>257.53</x:v>
      </x:c>
      <x:c r="F11" s="17" t="str">
        <x:v>Materiaal</x:v>
      </x:c>
      <x:c r="G11" s="17" t="str">
        <x:v>#260287 | Louis Berger</x:v>
      </x:c>
      <x:c r="H11" s="17" t="str">
        <x:v>AMSTERDAM 04-08-2026 07:55 Pas: 3789</x:v>
      </x:c>
      <x:c r="I11" s="17" t="str"/>
    </x:row>
    <x:row r="12">
      <x:c r="A12" s="17" t="str">
        <x:v>Ontbreekt</x:v>
      </x:c>
      <x:c r="B12" s="17" t="str">
        <x:v>Bouwmaat</x:v>
      </x:c>
      <x:c r="C12" s="17" t="str">
        <x:v>BCK*Bouwmaat Amstel</x:v>
      </x:c>
      <x:c r="D12" s="18" t="n">
        <x:v>46237.416666666664</x:v>
      </x:c>
      <x:c r="E12" s="19" t="n">
        <x:v>77.3</x:v>
      </x:c>
      <x:c r="F12" s="17" t="str">
        <x:v>Materiaal</x:v>
      </x:c>
      <x:c r="G12" s="17" t="str">
        <x:v>Niet gekoppeld</x:v>
      </x:c>
      <x:c r="H12" s="17" t="str">
        <x:v>AMSTERDAM 01-08-2026 09:50 Pas: 3789</x:v>
      </x:c>
      <x:c r="I12" s="17" t="str"/>
    </x:row>
    <x:row r="13">
      <x:c r="A13" s="17" t="str">
        <x:v>Ontbreekt</x:v>
      </x:c>
      <x:c r="B13" s="17" t="str">
        <x:v>Bouwmaat</x:v>
      </x:c>
      <x:c r="C13" s="17" t="str">
        <x:v>BCK*Bouwmaat Amstel</x:v>
      </x:c>
      <x:c r="D13" s="18" t="n">
        <x:v>46230.416666666664</x:v>
      </x:c>
      <x:c r="E13" s="19" t="n">
        <x:v>101.57</x:v>
      </x:c>
      <x:c r="F13" s="17" t="str">
        <x:v>Materiaal</x:v>
      </x:c>
      <x:c r="G13" s="17" t="str">
        <x:v>#260324 | Mike Olofsen</x:v>
      </x:c>
      <x:c r="H13" s="17" t="str">
        <x:v>AMSTERDAM 27-07-2026 12:33 Pas: 3789</x:v>
      </x:c>
      <x:c r="I13" s="17" t="str"/>
    </x:row>
    <x:row r="14">
      <x:c r="A14" s="17" t="str">
        <x:v>Ontbreekt</x:v>
      </x:c>
      <x:c r="B14" s="17" t="str">
        <x:v>Bouwmaat</x:v>
      </x:c>
      <x:c r="C14" s="17" t="str">
        <x:v>Bouwmaat Alkmaar</x:v>
      </x:c>
      <x:c r="D14" s="18" t="n">
        <x:v>46202.416666666664</x:v>
      </x:c>
      <x:c r="E14" s="19" t="n">
        <x:v>192.77</x:v>
      </x:c>
      <x:c r="F14" s="17" t="str">
        <x:v>Eigen verbruik</x:v>
      </x:c>
      <x:c r="G14" s="17" t="str">
        <x:v>Niet gekoppeld</x:v>
      </x:c>
      <x:c r="H14" s="17" t="str">
        <x:v>ALKMAAR 29-06-2026 09:52 Pas: 3789</x:v>
      </x:c>
      <x:c r="I14" s="17" t="str"/>
    </x:row>
    <x:row r="15">
      <x:c r="A15" s="17" t="str">
        <x:v>Ontbreekt</x:v>
      </x:c>
      <x:c r="B15" s="17" t="str">
        <x:v>Bouwmaat</x:v>
      </x:c>
      <x:c r="C15" s="17" t="str">
        <x:v>Bouwmaat Amsterdam B.V.</x:v>
      </x:c>
      <x:c r="D15" s="18" t="n">
        <x:v>46230.416666666664</x:v>
      </x:c>
      <x:c r="E15" s="19" t="n">
        <x:v>286.48</x:v>
      </x:c>
      <x:c r="F15" s="17" t="str">
        <x:v>Materiaal</x:v>
      </x:c>
      <x:c r="G15" s="17" t="str">
        <x:v>#260324 | Mike Olofsen</x:v>
      </x:c>
      <x:c r="H15" s="17" t="str">
        <x:v>44717097016X113c 7370644738633297 Uw betalingsopdracht voor order</x:v>
      </x:c>
      <x:c r="I15" s="17" t="str"/>
    </x:row>
    <x:row r="16">
      <x:c r="A16" s="17" t="str">
        <x:v>Ontbreekt</x:v>
      </x:c>
      <x:c r="B16" s="17" t="str">
        <x:v>Bouwmaat</x:v>
      </x:c>
      <x:c r="C16" s="17" t="str">
        <x:v>Bouwmaat Haarlem</x:v>
      </x:c>
      <x:c r="D16" s="18" t="n">
        <x:v>46205.416666666664</x:v>
      </x:c>
      <x:c r="E16" s="19" t="n">
        <x:v>20.26</x:v>
      </x:c>
      <x:c r="F16" s="17" t="str">
        <x:v>Materiaal</x:v>
      </x:c>
      <x:c r="G16" s="17" t="str">
        <x:v>#260359 | Danni Zandburg</x:v>
      </x:c>
      <x:c r="H16" s="17" t="str">
        <x:v>HAARLEM 02-07-2026 15:20 Pas: 3789</x:v>
      </x:c>
      <x:c r="I16" s="17" t="str"/>
    </x:row>
    <x:row r="17">
      <x:c r="A17" s="17" t="str">
        <x:v>Ontbreekt</x:v>
      </x:c>
      <x:c r="B17" s="17" t="str">
        <x:v>Bouwmaat</x:v>
      </x:c>
      <x:c r="C17" s="17" t="str">
        <x:v>DERDENGELDEN BOUWMAAT</x:v>
      </x:c>
      <x:c r="D17" s="18" t="n">
        <x:v>46259.416666666664</x:v>
      </x:c>
      <x:c r="E17" s="19" t="n">
        <x:v>398.77</x:v>
      </x:c>
      <x:c r="F17" s="17" t="str">
        <x:v>Materiaal</x:v>
      </x:c>
      <x:c r="G17" s="17" t="str">
        <x:v>Niet gekoppeld</x:v>
      </x:c>
      <x:c r="H17" s="17" t="str">
        <x:v>1000VF003448139</x:v>
      </x:c>
      <x:c r="I17" s="17" t="str"/>
    </x:row>
    <x:row r="18">
      <x:c r="A18" s="17" t="str">
        <x:v>Ontbreekt</x:v>
      </x:c>
      <x:c r="B18" s="17" t="str">
        <x:v>Bouwmaat</x:v>
      </x:c>
      <x:c r="C18" s="17" t="str">
        <x:v>DERDENGELDEN BOUWMAAT</x:v>
      </x:c>
      <x:c r="D18" s="18" t="n">
        <x:v>46254.416666666664</x:v>
      </x:c>
      <x:c r="E18" s="19" t="n">
        <x:v>508.7</x:v>
      </x:c>
      <x:c r="F18" s="17" t="str">
        <x:v>Materiaal</x:v>
      </x:c>
      <x:c r="G18" s="17" t="str">
        <x:v>Niet gekoppeld</x:v>
      </x:c>
      <x:c r="H18" s="17" t="str">
        <x:v>2004VF000282926</x:v>
      </x:c>
      <x:c r="I18" s="17" t="str"/>
    </x:row>
    <x:row r="19">
      <x:c r="A19" s="17" t="str">
        <x:v>Ontbreekt</x:v>
      </x:c>
      <x:c r="B19" s="17" t="str">
        <x:v>Bouwmaat</x:v>
      </x:c>
      <x:c r="C19" s="17" t="str">
        <x:v>DERDENGELDEN BOUWMAAT</x:v>
      </x:c>
      <x:c r="D19" s="18" t="n">
        <x:v>46252.416666666664</x:v>
      </x:c>
      <x:c r="E19" s="19" t="n">
        <x:v>894.55</x:v>
      </x:c>
      <x:c r="F19" s="17" t="str">
        <x:v>Materiaal</x:v>
      </x:c>
      <x:c r="G19" s="17" t="str">
        <x:v>Niet gekoppeld</x:v>
      </x:c>
      <x:c r="H19" s="17" t="str">
        <x:v>4000VF002811534,4000VF002813418</x:v>
      </x:c>
      <x:c r="I19" s="17" t="str"/>
    </x:row>
    <x:row r="20">
      <x:c r="A20" s="17" t="str">
        <x:v>Ontbreekt</x:v>
      </x:c>
      <x:c r="B20" s="17" t="str">
        <x:v>Bouwmaat</x:v>
      </x:c>
      <x:c r="C20" s="17" t="str">
        <x:v>DERDENGELDEN BOUWMAAT</x:v>
      </x:c>
      <x:c r="D20" s="18" t="n">
        <x:v>46248.416666666664</x:v>
      </x:c>
      <x:c r="E20" s="19" t="n">
        <x:v>38.5</x:v>
      </x:c>
      <x:c r="F20" s="17" t="str">
        <x:v>Materiaal</x:v>
      </x:c>
      <x:c r="G20" s="17" t="str">
        <x:v>Niet gekoppeld</x:v>
      </x:c>
      <x:c r="H20" s="17" t="str">
        <x:v>5000VF001993916,5000VF001994959</x:v>
      </x:c>
      <x:c r="I20" s="17" t="str"/>
    </x:row>
    <x:row r="21">
      <x:c r="A21" s="17" t="str">
        <x:v>Ontbreekt</x:v>
      </x:c>
      <x:c r="B21" s="17" t="str">
        <x:v>Bouwmaat</x:v>
      </x:c>
      <x:c r="C21" s="17" t="str">
        <x:v>DSG Bouwmaten B.V.</x:v>
      </x:c>
      <x:c r="D21" s="18" t="n">
        <x:v>46226.416666666664</x:v>
      </x:c>
      <x:c r="E21" s="19" t="n">
        <x:v>2831.83</x:v>
      </x:c>
      <x:c r="F21" s="17" t="str">
        <x:v>Materiaal</x:v>
      </x:c>
      <x:c r="G21" s="17" t="str">
        <x:v>Niet gekoppeld</x:v>
      </x:c>
      <x:c r="H21" s="17" t="str">
        <x:v>47214592052X44b7 7370405632707214 Uw betalingsopdracht voor order</x:v>
      </x:c>
      <x:c r="I21" s="17" t="str"/>
    </x:row>
    <x:row r="22">
      <x:c r="A22" s="17" t="str">
        <x:v>Ontbreekt</x:v>
      </x:c>
      <x:c r="B22" s="17" t="str">
        <x:v>Gemeente Diemen</x:v>
      </x:c>
      <x:c r="C22" s="17" t="str">
        <x:v>BNG*Gemeente Diemen</x:v>
      </x:c>
      <x:c r="D22" s="18" t="n">
        <x:v>46260.416666666664</x:v>
      </x:c>
      <x:c r="E22" s="19" t="n">
        <x:v>0.2</x:v>
      </x:c>
      <x:c r="F22" s="17" t="str">
        <x:v>Overig</x:v>
      </x:c>
      <x:c r="G22" s="17" t="str">
        <x:v>Niet gekoppeld</x:v>
      </x:c>
      <x:c r="H22" s="17" t="str">
        <x:v>DIEMEN 26-08-2026 18:50 Pas: 3789</x:v>
      </x:c>
      <x:c r="I22" s="17" t="str"/>
    </x:row>
    <x:row r="23">
      <x:c r="A23" s="17" t="str">
        <x:v>Ontbreekt</x:v>
      </x:c>
      <x:c r="B23" s="17" t="str">
        <x:v>Gemeente Diemen</x:v>
      </x:c>
      <x:c r="C23" s="17" t="str">
        <x:v>BNG*Gemeente Diemen</x:v>
      </x:c>
      <x:c r="D23" s="18" t="n">
        <x:v>46258.416666666664</x:v>
      </x:c>
      <x:c r="E23" s="19" t="n">
        <x:v>2.62</x:v>
      </x:c>
      <x:c r="F23" s="17" t="str">
        <x:v>Overig</x:v>
      </x:c>
      <x:c r="G23" s="17" t="str">
        <x:v>Niet gekoppeld</x:v>
      </x:c>
      <x:c r="H23" s="17" t="str">
        <x:v>DIEMEN 24-08-2026 16:50 Pas: 3789</x:v>
      </x:c>
      <x:c r="I23" s="17" t="str"/>
    </x:row>
    <x:row r="24">
      <x:c r="A24" s="17" t="str">
        <x:v>Ontbreekt</x:v>
      </x:c>
      <x:c r="B24" s="17" t="str">
        <x:v>Gemeente Diemen</x:v>
      </x:c>
      <x:c r="C24" s="17" t="str">
        <x:v>BNG*Gemeente Diemen</x:v>
      </x:c>
      <x:c r="D24" s="18" t="n">
        <x:v>46198.416666666664</x:v>
      </x:c>
      <x:c r="E24" s="19" t="n">
        <x:v>1.5</x:v>
      </x:c>
      <x:c r="F24" s="17" t="str">
        <x:v>Overig</x:v>
      </x:c>
      <x:c r="G24" s="17" t="str">
        <x:v>Niet gekoppeld</x:v>
      </x:c>
      <x:c r="H24" s="17" t="str">
        <x:v>DIEMEN 25-06-2026 14:29 Pas: 3789</x:v>
      </x:c>
      <x:c r="I24" s="17" t="str"/>
    </x:row>
    <x:row r="25">
      <x:c r="A25" s="17" t="str">
        <x:v>Ontbreekt</x:v>
      </x:c>
      <x:c r="B25" s="17" t="str">
        <x:v>Gemeente Diemen</x:v>
      </x:c>
      <x:c r="C25" s="17" t="str">
        <x:v>BNG*Gemeente Diemen</x:v>
      </x:c>
      <x:c r="D25" s="18" t="n">
        <x:v>46198.416666666664</x:v>
      </x:c>
      <x:c r="E25" s="19" t="n">
        <x:v>0.7</x:v>
      </x:c>
      <x:c r="F25" s="17" t="str">
        <x:v>Overig</x:v>
      </x:c>
      <x:c r="G25" s="17" t="str">
        <x:v>Niet gekoppeld</x:v>
      </x:c>
      <x:c r="H25" s="17" t="str">
        <x:v>DIEMEN 25-06-2026 13:57 Pas: 3789</x:v>
      </x:c>
      <x:c r="I25" s="17" t="str"/>
    </x:row>
    <x:row r="26">
      <x:c r="A26" s="17" t="str">
        <x:v>Ontbreekt</x:v>
      </x:c>
      <x:c r="B26" s="17" t="str">
        <x:v>GoCardless</x:v>
      </x:c>
      <x:c r="C26" s="17" t="str">
        <x:v>GoCardless Ltd</x:v>
      </x:c>
      <x:c r="D26" s="18" t="n">
        <x:v>46197.416666666664</x:v>
      </x:c>
      <x:c r="E26" s="19" t="n">
        <x:v>0.01</x:v>
      </x:c>
      <x:c r="F26" s="17" t="str">
        <x:v>Overig</x:v>
      </x:c>
      <x:c r="G26" s="17" t="str">
        <x:v>Niet gekoppeld</x:v>
      </x:c>
      <x:c r="H26" s="17" t="str">
        <x:v>GC2BWBD</x:v>
      </x:c>
      <x:c r="I26" s="17" t="str"/>
    </x:row>
    <x:row r="27">
      <x:c r="A27" s="17" t="str">
        <x:v>Ontbreekt</x:v>
      </x:c>
      <x:c r="B27" s="17" t="str">
        <x:v>GSSP RIJSWIJK</x:v>
      </x:c>
      <x:c r="C27" s="17" t="str">
        <x:v>BCK*GSSP RIJSWIJK</x:v>
      </x:c>
      <x:c r="D27" s="18" t="n">
        <x:v>46233.416666666664</x:v>
      </x:c>
      <x:c r="E27" s="19" t="n">
        <x:v>171.36</x:v>
      </x:c>
      <x:c r="F27" s="17" t="str">
        <x:v>Overig</x:v>
      </x:c>
      <x:c r="G27" s="17" t="str">
        <x:v>Niet gekoppeld</x:v>
      </x:c>
      <x:c r="H27" s="17" t="str">
        <x:v>RIJSWIJK ZH 30-07-2026 09:12 Pas: 3789</x:v>
      </x:c>
      <x:c r="I27" s="17" t="str"/>
    </x:row>
    <x:row r="28">
      <x:c r="A28" s="17" t="str">
        <x:v>Ontbreekt</x:v>
      </x:c>
      <x:c r="B28" s="17" t="str">
        <x:v>HomingXL</x:v>
      </x:c>
      <x:c r="C28" s="17" t="str">
        <x:v>HomingXL via MultiSafepay</x:v>
      </x:c>
      <x:c r="D28" s="18" t="n">
        <x:v>46209.416666666664</x:v>
      </x:c>
      <x:c r="E28" s="19" t="n">
        <x:v>257</x:v>
      </x:c>
      <x:c r="F28" s="17" t="str">
        <x:v>Overig</x:v>
      </x:c>
      <x:c r="G28" s="17" t="str">
        <x:v>Niet gekoppeld</x:v>
      </x:c>
      <x:c r="H28" s="17" t="str">
        <x:v>1602278491 8151396230417239 Betaalverzoek voor bestelling 30... HomingXL</x:v>
      </x:c>
      <x:c r="I28" s="17" t="str"/>
    </x:row>
    <x:row r="29">
      <x:c r="A29" s="17" t="str">
        <x:v>Ontbreekt</x:v>
      </x:c>
      <x:c r="B29" s="17" t="str">
        <x:v>HomingXL</x:v>
      </x:c>
      <x:c r="C29" s="17" t="str">
        <x:v>HomingXL via MultiSafepay</x:v>
      </x:c>
      <x:c r="D29" s="18" t="n">
        <x:v>46209.416666666664</x:v>
      </x:c>
      <x:c r="E29" s="19" t="n">
        <x:v>1207.5</x:v>
      </x:c>
      <x:c r="F29" s="17" t="str">
        <x:v>Overig</x:v>
      </x:c>
      <x:c r="G29" s="17" t="str">
        <x:v>Niet gekoppeld</x:v>
      </x:c>
      <x:c r="H29" s="17" t="str">
        <x:v>1602094068 8151854136357482 Payment for order .3000009153 HomingXL</x:v>
      </x:c>
      <x:c r="I29" s="17" t="str"/>
    </x:row>
    <x:row r="30">
      <x:c r="A30" s="17" t="str">
        <x:v>Ontbreekt</x:v>
      </x:c>
      <x:c r="B30" s="17" t="str">
        <x:v>Karwei</x:v>
      </x:c>
      <x:c r="C30" s="17" t="str">
        <x:v>KARWEI BARENDRECHT</x:v>
      </x:c>
      <x:c r="D30" s="18" t="n">
        <x:v>46216.416666666664</x:v>
      </x:c>
      <x:c r="E30" s="19" t="n">
        <x:v>37.06</x:v>
      </x:c>
      <x:c r="F30" s="17" t="str">
        <x:v>Materiaal</x:v>
      </x:c>
      <x:c r="G30" s="17" t="str">
        <x:v>#260321 | Carolina</x:v>
      </x:c>
      <x:c r="H30" s="17" t="str">
        <x:v>BARENDRECHT 11-07-2026 17:22 Pas: 3789</x:v>
      </x:c>
      <x:c r="I30" s="17" t="str"/>
    </x:row>
    <x:row r="31">
      <x:c r="A31" s="17" t="str">
        <x:v>Ontbreekt</x:v>
      </x:c>
      <x:c r="B31" s="17" t="str">
        <x:v>Kentekenplaten</x:v>
      </x:c>
      <x:c r="C31" s="17" t="str">
        <x:v>Kentekenplaten, Fun + Luxeplaten...</x:v>
      </x:c>
      <x:c r="D31" s="18" t="n">
        <x:v>46211.416666666664</x:v>
      </x:c>
      <x:c r="E31" s="19" t="n">
        <x:v>16.94</x:v>
      </x:c>
      <x:c r="F31" s="17" t="str">
        <x:v>Overig</x:v>
      </x:c>
      <x:c r="G31" s="17" t="str">
        <x:v>Niet gekoppeld</x:v>
      </x:c>
      <x:c r="H31" s="17" t="str">
        <x:v>1604493138 8151206842410051 Betaling voor bestelling: NW-65173 Kentekenplaten, Fun + Luxeplaten...</x:v>
      </x:c>
      <x:c r="I31" s="17" t="str"/>
    </x:row>
    <x:row r="32">
      <x:c r="A32" s="17" t="str">
        <x:v>Ontbreekt</x:v>
      </x:c>
      <x:c r="B32" s="17" t="str">
        <x:v>Knab</x:v>
      </x:c>
      <x:c r="C32" s="17" t="str">
        <x:v>KNAB</x:v>
      </x:c>
      <x:c r="D32" s="18" t="n">
        <x:v>46237.416666666664</x:v>
      </x:c>
      <x:c r="E32" s="19" t="n">
        <x:v>1.8</x:v>
      </x:c>
      <x:c r="F32" s="17" t="str">
        <x:v>Overig</x:v>
      </x:c>
      <x:c r="G32" s="17" t="str">
        <x:v>Niet gekoppeld</x:v>
      </x:c>
      <x:c r="H32" s="17" t="str">
        <x:v>Kosten betaalverzoek juli 2026</x:v>
      </x:c>
      <x:c r="I32" s="17" t="str"/>
    </x:row>
    <x:row r="33">
      <x:c r="A33" s="17" t="str">
        <x:v>Ontbreekt</x:v>
      </x:c>
      <x:c r="B33" s="17" t="str">
        <x:v>Knab</x:v>
      </x:c>
      <x:c r="C33" s="17" t="str">
        <x:v>KNAB</x:v>
      </x:c>
      <x:c r="D33" s="18" t="n">
        <x:v>46204.416666666664</x:v>
      </x:c>
      <x:c r="E33" s="19" t="n">
        <x:v>3.3</x:v>
      </x:c>
      <x:c r="F33" s="17" t="str">
        <x:v>Overig</x:v>
      </x:c>
      <x:c r="G33" s="17" t="str">
        <x:v>Niet gekoppeld</x:v>
      </x:c>
      <x:c r="H33" s="17" t="str">
        <x:v>Kosten betaalverzoek juni 2026</x:v>
      </x:c>
      <x:c r="I33" s="17" t="str"/>
    </x:row>
    <x:row r="34">
      <x:c r="A34" s="17" t="str">
        <x:v>Ontbreekt</x:v>
      </x:c>
      <x:c r="B34" s="17" t="str">
        <x:v>KPN</x:v>
      </x:c>
      <x:c r="C34" s="17" t="str">
        <x:v>KPN</x:v>
      </x:c>
      <x:c r="D34" s="18" t="n">
        <x:v>46202.416666666664</x:v>
      </x:c>
      <x:c r="E34" s="19" t="n">
        <x:v>39</x:v>
      </x:c>
      <x:c r="F34" s="17" t="str">
        <x:v>Telefoon</x:v>
      </x:c>
      <x:c r="G34" s="17" t="str">
        <x:v>Niet gekoppeld</x:v>
      </x:c>
      <x:c r="H34" s="17" t="str">
        <x:v>0000001380184748 7051194742318767 Facturen KPN</x:v>
      </x:c>
      <x:c r="I34" s="17" t="str"/>
    </x:row>
    <x:row r="35">
      <x:c r="A35" s="17" t="str">
        <x:v>Ontbreekt</x:v>
      </x:c>
      <x:c r="B35" s="17" t="str">
        <x:v>KPN</x:v>
      </x:c>
      <x:c r="C35" s="17" t="str">
        <x:v>KPN Den Haag</x:v>
      </x:c>
      <x:c r="D35" s="18" t="n">
        <x:v>46240.416666666664</x:v>
      </x:c>
      <x:c r="E35" s="19" t="n">
        <x:v>53.98</x:v>
      </x:c>
      <x:c r="F35" s="17" t="str">
        <x:v>Telefoon</x:v>
      </x:c>
      <x:c r="G35" s="17" t="str">
        <x:v>Niet gekoppeld</x:v>
      </x:c>
      <x:c r="H35" s="17" t="str">
        <x:v>'S-GRAVENHAG 06-08-2026 10:45 Pas: 3789</x:v>
      </x:c>
      <x:c r="I35" s="17" t="str"/>
    </x:row>
    <x:row r="36">
      <x:c r="A36" s="17" t="str">
        <x:v>Ontbreekt</x:v>
      </x:c>
      <x:c r="B36" s="17" t="str">
        <x:v>Moments&amp;More Veentje</x:v>
      </x:c>
      <x:c r="C36" s="17" t="str">
        <x:v>Moments&amp;More Veentje</x:v>
      </x:c>
      <x:c r="D36" s="18" t="n">
        <x:v>46245.416666666664</x:v>
      </x:c>
      <x:c r="E36" s="19" t="n">
        <x:v>6.95</x:v>
      </x:c>
      <x:c r="F36" s="17" t="str">
        <x:v>Overig</x:v>
      </x:c>
      <x:c r="G36" s="17" t="str">
        <x:v>Niet gekoppeld</x:v>
      </x:c>
      <x:c r="H36" s="17" t="str">
        <x:v>EEMNES 11-08-2026 07:31 Pas: 3789</x:v>
      </x:c>
      <x:c r="I36" s="17" t="str"/>
    </x:row>
    <x:row r="37">
      <x:c r="A37" s="17" t="str">
        <x:v>Ontbreekt</x:v>
      </x:c>
      <x:c r="B37" s="17" t="str">
        <x:v>Parkeren</x:v>
      </x:c>
      <x:c r="C37" s="17" t="str">
        <x:v>Parkeren A'dam 15504</x:v>
      </x:c>
      <x:c r="D37" s="18" t="n">
        <x:v>46227.416666666664</x:v>
      </x:c>
      <x:c r="E37" s="19" t="n">
        <x:v>2.69</x:v>
      </x:c>
      <x:c r="F37" s="17" t="str">
        <x:v>Autokosten</x:v>
      </x:c>
      <x:c r="G37" s="17" t="str">
        <x:v>Niet gekoppeld</x:v>
      </x:c>
      <x:c r="H37" s="17" t="str">
        <x:v>AMSTERDAM 24-07-2026 12:56 Pas: 3789</x:v>
      </x:c>
      <x:c r="I37" s="17" t="str"/>
    </x:row>
    <x:row r="38">
      <x:c r="A38" s="17" t="str">
        <x:v>Ontbreekt</x:v>
      </x:c>
      <x:c r="B38" s="17" t="str">
        <x:v>Pivada</x:v>
      </x:c>
      <x:c r="C38" s="17" t="str">
        <x:v>PIVADA verhuur</x:v>
      </x:c>
      <x:c r="D38" s="18" t="n">
        <x:v>46217.416666666664</x:v>
      </x:c>
      <x:c r="E38" s="19" t="n">
        <x:v>211.5</x:v>
      </x:c>
      <x:c r="F38" s="17" t="str">
        <x:v>Overig</x:v>
      </x:c>
      <x:c r="G38" s="17" t="str">
        <x:v>Niet gekoppeld</x:v>
      </x:c>
      <x:c r="H38" s="17" t="str">
        <x:v>PIVADAVe21581 8030835936184421 betaling PIVADA Verhuur</x:v>
      </x:c>
      <x:c r="I38" s="17" t="str"/>
    </x:row>
    <x:row r="39">
      <x:c r="A39" s="17" t="str">
        <x:v>Ontbreekt</x:v>
      </x:c>
      <x:c r="B39" s="17" t="str">
        <x:v>Praxis</x:v>
      </x:c>
      <x:c r="C39" s="17" t="str">
        <x:v>BCK*Praxis 2271 Vianen</x:v>
      </x:c>
      <x:c r="D39" s="18" t="n">
        <x:v>46209.416666666664</x:v>
      </x:c>
      <x:c r="E39" s="19" t="n">
        <x:v>41.99</x:v>
      </x:c>
      <x:c r="F39" s="17" t="str">
        <x:v>Materiaal</x:v>
      </x:c>
      <x:c r="G39" s="17" t="str">
        <x:v>#260321 | Carolina</x:v>
      </x:c>
      <x:c r="H39" s="17" t="str">
        <x:v>VIANEN UT 06-07-2026 15:11 Pas: 3789</x:v>
      </x:c>
      <x:c r="I39" s="17" t="str"/>
    </x:row>
    <x:row r="40">
      <x:c r="A40" s="17" t="str">
        <x:v>Ontbreekt</x:v>
      </x:c>
      <x:c r="B40" s="17" t="str">
        <x:v>Praxis</x:v>
      </x:c>
      <x:c r="C40" s="17" t="str">
        <x:v>BCK*Praxis Huizen 052</x:v>
      </x:c>
      <x:c r="D40" s="18" t="n">
        <x:v>46258.416666666664</x:v>
      </x:c>
      <x:c r="E40" s="19" t="n">
        <x:v>21.86</x:v>
      </x:c>
      <x:c r="F40" s="17" t="str">
        <x:v>Materiaal</x:v>
      </x:c>
      <x:c r="G40" s="17" t="str">
        <x:v>Niet gekoppeld</x:v>
      </x:c>
      <x:c r="H40" s="17" t="str">
        <x:v>HUIZEN 23-08-2026 15:55 Pas: 3789</x:v>
      </x:c>
      <x:c r="I40" s="17" t="str"/>
    </x:row>
    <x:row r="41">
      <x:c r="A41" s="17" t="str">
        <x:v>Ontbreekt</x:v>
      </x:c>
      <x:c r="B41" s="17" t="str">
        <x:v>Praxis</x:v>
      </x:c>
      <x:c r="C41" s="17" t="str">
        <x:v>Praxis Dordrecht</x:v>
      </x:c>
      <x:c r="D41" s="18" t="n">
        <x:v>46247.416666666664</x:v>
      </x:c>
      <x:c r="E41" s="19" t="n">
        <x:v>14.4</x:v>
      </x:c>
      <x:c r="F41" s="17" t="str">
        <x:v>Materiaal</x:v>
      </x:c>
      <x:c r="G41" s="17" t="str">
        <x:v>Niet gekoppeld</x:v>
      </x:c>
      <x:c r="H41" s="17" t="str">
        <x:v>DORDRECHT 13-08-2026 17:24 Pas: 3789</x:v>
      </x:c>
      <x:c r="I41" s="17" t="str"/>
    </x:row>
    <x:row r="42">
      <x:c r="A42" s="17" t="str">
        <x:v>Ontbreekt</x:v>
      </x:c>
      <x:c r="B42" s="17" t="str">
        <x:v>Selecta</x:v>
      </x:c>
      <x:c r="C42" s="17" t="str">
        <x:v>Selecta Netherlands B</x:v>
      </x:c>
      <x:c r="D42" s="18" t="n">
        <x:v>46223.416666666664</x:v>
      </x:c>
      <x:c r="E42" s="19" t="n">
        <x:v>3.65</x:v>
      </x:c>
      <x:c r="F42" s="17" t="str">
        <x:v>Overig</x:v>
      </x:c>
      <x:c r="G42" s="17" t="str">
        <x:v>Niet gekoppeld</x:v>
      </x:c>
      <x:c r="H42" s="17" t="str">
        <x:v>Dordrecht 20-07-2026 10:33 Pas: 3789</x:v>
      </x:c>
      <x:c r="I42" s="17" t="str"/>
    </x:row>
    <x:row r="43">
      <x:c r="A43" s="17" t="str">
        <x:v>Ontbreekt</x:v>
      </x:c>
      <x:c r="B43" s="17" t="str">
        <x:v>Taffne Bv</x:v>
      </x:c>
      <x:c r="C43" s="17" t="str">
        <x:v>Taffne Bv</x:v>
      </x:c>
      <x:c r="D43" s="18" t="n">
        <x:v>46209.416666666664</x:v>
      </x:c>
      <x:c r="E43" s="19" t="n">
        <x:v>15</x:v>
      </x:c>
      <x:c r="F43" s="17" t="str">
        <x:v>Eigen verbruik</x:v>
      </x:c>
      <x:c r="G43" s="17" t="str">
        <x:v>Niet gekoppeld</x:v>
      </x:c>
      <x:c r="H43" s="17" t="str">
        <x:v>BEVERWIJK 04-07-2026 18:43 Pas: 3789</x:v>
      </x:c>
      <x:c r="I43" s="17" t="str"/>
    </x:row>
    <x:row r="44">
      <x:c r="A44" s="17" t="str">
        <x:v>Ontbreekt</x:v>
      </x:c>
      <x:c r="B44" s="17" t="str">
        <x:v>TMC*P-DORDRECHT-11020</x:v>
      </x:c>
      <x:c r="C44" s="17" t="str">
        <x:v>TMC*P-DORDRECHT-11020</x:v>
      </x:c>
      <x:c r="D44" s="18" t="n">
        <x:v>46248.416666666664</x:v>
      </x:c>
      <x:c r="E44" s="19" t="n">
        <x:v>1.1</x:v>
      </x:c>
      <x:c r="F44" s="17" t="str">
        <x:v>Overig</x:v>
      </x:c>
      <x:c r="G44" s="17" t="str">
        <x:v>Niet gekoppeld</x:v>
      </x:c>
      <x:c r="H44" s="17" t="str">
        <x:v>DORDRECHT 14-08-2026 16:43 Pas: 3789</x:v>
      </x:c>
      <x:c r="I44" s="17" t="str"/>
    </x:row>
    <x:row r="45">
      <x:c r="A45" s="17" t="str">
        <x:v>Ontbreekt</x:v>
      </x:c>
      <x:c r="B45" s="17" t="str">
        <x:v>Toolstation</x:v>
      </x:c>
      <x:c r="C45" s="17" t="str">
        <x:v>BCK*Toolstation AG</x:v>
      </x:c>
      <x:c r="D45" s="18" t="n">
        <x:v>46237.416666666664</x:v>
      </x:c>
      <x:c r="E45" s="19" t="n">
        <x:v>356.25</x:v>
      </x:c>
      <x:c r="F45" s="17" t="str">
        <x:v>Gereedschap</x:v>
      </x:c>
      <x:c r="G45" s="17" t="str">
        <x:v>Niet gekoppeld</x:v>
      </x:c>
      <x:c r="H45" s="17" t="str">
        <x:v>AMSTERDAM 01-08-2026 10:03 Pas: 3789</x:v>
      </x:c>
      <x:c r="I45" s="17" t="str"/>
    </x:row>
    <x:row r="46">
      <x:c r="A46" s="17" t="str">
        <x:v>Ontbreekt</x:v>
      </x:c>
      <x:c r="B46" s="17" t="str">
        <x:v>Toolstation</x:v>
      </x:c>
      <x:c r="C46" s="17" t="str">
        <x:v>BCK*Toolstation AH</x:v>
      </x:c>
      <x:c r="D46" s="18" t="n">
        <x:v>46237.416666666664</x:v>
      </x:c>
      <x:c r="E46" s="19" t="n">
        <x:v>11.88</x:v>
      </x:c>
      <x:c r="F46" s="17" t="str">
        <x:v>Materiaal</x:v>
      </x:c>
      <x:c r="G46" s="17" t="str">
        <x:v>Niet gekoppeld</x:v>
      </x:c>
      <x:c r="H46" s="17" t="str">
        <x:v>HAARLEM 01-08-2026 08:23 Pas: 3789</x:v>
      </x:c>
      <x:c r="I46" s="17" t="str"/>
    </x:row>
    <x:row r="47">
      <x:c r="A47" s="17" t="str">
        <x:v>Ontbreekt</x:v>
      </x:c>
      <x:c r="B47" s="17" t="str">
        <x:v>Toolstation</x:v>
      </x:c>
      <x:c r="C47" s="17" t="str">
        <x:v>BCK*Toolstation AH</x:v>
      </x:c>
      <x:c r="D47" s="18" t="n">
        <x:v>46224.416666666664</x:v>
      </x:c>
      <x:c r="E47" s="19" t="n">
        <x:v>2.71</x:v>
      </x:c>
      <x:c r="F47" s="17" t="str">
        <x:v>Gereedschap</x:v>
      </x:c>
      <x:c r="G47" s="17" t="str">
        <x:v>Niet gekoppeld</x:v>
      </x:c>
      <x:c r="H47" s="17" t="str">
        <x:v>HAARLEM 21-07-2026 12:29 Pas: 3789</x:v>
      </x:c>
      <x:c r="I47" s="17" t="str"/>
    </x:row>
    <x:row r="48">
      <x:c r="A48" s="17" t="str">
        <x:v>Ontbreekt</x:v>
      </x:c>
      <x:c r="B48" s="17" t="str">
        <x:v>Toolstation</x:v>
      </x:c>
      <x:c r="C48" s="17" t="str">
        <x:v>BCK*Toolstation AH</x:v>
      </x:c>
      <x:c r="D48" s="18" t="n">
        <x:v>46223.416666666664</x:v>
      </x:c>
      <x:c r="E48" s="19" t="n">
        <x:v>241.66</x:v>
      </x:c>
      <x:c r="F48" s="17" t="str">
        <x:v>Gereedschap</x:v>
      </x:c>
      <x:c r="G48" s="17" t="str">
        <x:v>Niet gekoppeld</x:v>
      </x:c>
      <x:c r="H48" s="17" t="str">
        <x:v>HAARLEM 20-07-2026 15:54 Pas: 3789</x:v>
      </x:c>
      <x:c r="I48" s="17" t="str"/>
    </x:row>
    <x:row r="49">
      <x:c r="A49" s="17" t="str">
        <x:v>Ontbreekt</x:v>
      </x:c>
      <x:c r="B49" s="17" t="str">
        <x:v>Toolstation</x:v>
      </x:c>
      <x:c r="C49" s="17" t="str">
        <x:v>BCK*Toolstation CG</x:v>
      </x:c>
      <x:c r="D49" s="18" t="n">
        <x:v>46188.416666666664</x:v>
      </x:c>
      <x:c r="E49" s="19" t="n">
        <x:v>17.64</x:v>
      </x:c>
      <x:c r="F49" s="17" t="str">
        <x:v>Materiaal</x:v>
      </x:c>
      <x:c r="G49" s="17" t="str">
        <x:v>Niet gekoppeld</x:v>
      </x:c>
      <x:c r="H49" s="17" t="str">
        <x:v>BEVERWIJK 15-06-2026 11:45 Pas: 3789</x:v>
      </x:c>
      <x:c r="I49" s="17" t="str"/>
    </x:row>
    <x:row r="50">
      <x:c r="A50" s="17" t="str">
        <x:v>Ontbreekt</x:v>
      </x:c>
      <x:c r="B50" s="17" t="str">
        <x:v>Toolstation</x:v>
      </x:c>
      <x:c r="C50" s="17" t="str">
        <x:v>BCK*Toolstation DJ</x:v>
      </x:c>
      <x:c r="D50" s="18" t="n">
        <x:v>46258.416666666664</x:v>
      </x:c>
      <x:c r="E50" s="19" t="n">
        <x:v>510.43</x:v>
      </x:c>
      <x:c r="F50" s="17" t="str">
        <x:v>Gereedschap</x:v>
      </x:c>
      <x:c r="G50" s="17" t="str">
        <x:v>Niet gekoppeld</x:v>
      </x:c>
      <x:c r="H50" s="17" t="str">
        <x:v>HUIZEN 22-08-2026 10:29 Pas: 3789</x:v>
      </x:c>
      <x:c r="I50" s="17" t="str"/>
    </x:row>
    <x:row r="51">
      <x:c r="A51" s="17" t="str">
        <x:v>Ontbreekt</x:v>
      </x:c>
      <x:c r="B51" s="17" t="str">
        <x:v>Toolstation</x:v>
      </x:c>
      <x:c r="C51" s="17" t="str">
        <x:v>BCK*Toolstation NL B.V</x:v>
      </x:c>
      <x:c r="D51" s="18" t="n">
        <x:v>46217.416666666664</x:v>
      </x:c>
      <x:c r="E51" s="19" t="n">
        <x:v>43.29</x:v>
      </x:c>
      <x:c r="F51" s="17" t="str">
        <x:v>Materiaal</x:v>
      </x:c>
      <x:c r="G51" s="17" t="str">
        <x:v>#260324 | Mike Olofsen</x:v>
      </x:c>
      <x:c r="H51" s="17" t="str">
        <x:v>LEIDERDORP 14-07-2026 14:19 Pas: 3789</x:v>
      </x:c>
      <x:c r="I51" s="17" t="str"/>
    </x:row>
    <x:row r="52">
      <x:c r="A52" s="17" t="str">
        <x:v>Ontbreekt</x:v>
      </x:c>
      <x:c r="B52" s="17" t="str">
        <x:v>Toolstation</x:v>
      </x:c>
      <x:c r="C52" s="17" t="str">
        <x:v>Toolstation via PayPal (Europe)</x:v>
      </x:c>
      <x:c r="D52" s="18" t="n">
        <x:v>46205.416666666664</x:v>
      </x:c>
      <x:c r="E52" s="19" t="n">
        <x:v>75.65</x:v>
      </x:c>
      <x:c r="F52" s="17" t="str">
        <x:v>Gereedschap</x:v>
      </x:c>
      <x:c r="G52" s="17" t="str">
        <x:v>Niet gekoppeld</x:v>
      </x:c>
      <x:c r="H52" s="17" t="str">
        <x:v>7KESQQG 7140666821219257 TOOLSTATION Toolstation</x:v>
      </x:c>
      <x:c r="I52" s="17" t="str"/>
    </x:row>
    <x:row r="53">
      <x:c r="A53" s="17" t="str">
        <x:v>Ontbreekt</x:v>
      </x:c>
      <x:c r="B53" s="17" t="str">
        <x:v>Van Brenen Transport</x:v>
      </x:c>
      <x:c r="C53" s="17" t="str">
        <x:v>CCV*Van Brenen Transpo</x:v>
      </x:c>
      <x:c r="D53" s="18" t="n">
        <x:v>46259.416666666664</x:v>
      </x:c>
      <x:c r="E53" s="19" t="n">
        <x:v>27.66</x:v>
      </x:c>
      <x:c r="F53" s="17" t="str">
        <x:v>Overig</x:v>
      </x:c>
      <x:c r="G53" s="17" t="str">
        <x:v>Niet gekoppeld</x:v>
      </x:c>
      <x:c r="H53" s="17" t="str">
        <x:v>DOORN 25-08-2026 11:14 Pas: 3789</x:v>
      </x:c>
      <x:c r="I53" s="17" t="str"/>
    </x:row>
    <x:row r="54">
      <x:c r="A54" s="17" t="str">
        <x:v>Ontbreekt</x:v>
      </x:c>
      <x:c r="B54" s="17" t="str">
        <x:v>Van Brenen Transport</x:v>
      </x:c>
      <x:c r="C54" s="17" t="str">
        <x:v>CCV*Van Brenen Transpo</x:v>
      </x:c>
      <x:c r="D54" s="18" t="n">
        <x:v>46253.416666666664</x:v>
      </x:c>
      <x:c r="E54" s="19" t="n">
        <x:v>101.25</x:v>
      </x:c>
      <x:c r="F54" s="17" t="str">
        <x:v>Afval</x:v>
      </x:c>
      <x:c r="G54" s="17" t="str">
        <x:v>Niet gekoppeld</x:v>
      </x:c>
      <x:c r="H54" s="17" t="str">
        <x:v>DOORN 19-08-2026 16:22 Pas: 3789</x:v>
      </x:c>
      <x:c r="I54" s="17" t="str"/>
    </x:row>
    <x:row r="55">
      <x:c r="A55" s="17" t="str">
        <x:v>Ontbreekt</x:v>
      </x:c>
      <x:c r="B55" s="17" t="str">
        <x:v>Van Brenen Transport</x:v>
      </x:c>
      <x:c r="C55" s="17" t="str">
        <x:v>CCV*Van Brenen Transpo</x:v>
      </x:c>
      <x:c r="D55" s="18" t="n">
        <x:v>46197.416666666664</x:v>
      </x:c>
      <x:c r="E55" s="19" t="n">
        <x:v>38.5</x:v>
      </x:c>
      <x:c r="F55" s="17" t="str">
        <x:v>Overig</x:v>
      </x:c>
      <x:c r="G55" s="17" t="str">
        <x:v>Niet gekoppeld</x:v>
      </x:c>
      <x:c r="H55" s="17" t="str">
        <x:v>DOORN 24-06-2026 12:41 Pas: 3789</x:v>
      </x:c>
      <x:c r="I55" s="17" t="str"/>
    </x:row>
    <x:row r="56">
      <x:c r="A56" s="17" t="str">
        <x:v>Ontbreekt</x:v>
      </x:c>
      <x:c r="B56" s="17" t="str">
        <x:v>VIA Amsterdam</x:v>
      </x:c>
      <x:c r="C56" s="17" t="str">
        <x:v>MS* VIAAMSTERDAM</x:v>
      </x:c>
      <x:c r="D56" s="18" t="n">
        <x:v>46258.416666666664</x:v>
      </x:c>
      <x:c r="E56" s="19" t="n">
        <x:v>3.39</x:v>
      </x:c>
      <x:c r="F56" s="17" t="str">
        <x:v>Hotel</x:v>
      </x:c>
      <x:c r="G56" s="17" t="str">
        <x:v>Niet gekoppeld</x:v>
      </x:c>
      <x:c r="H56" s="17" t="str">
        <x:v>AMSTERDAM 24-08-2026 08:04 Pas: 3789</x:v>
      </x:c>
      <x:c r="I56" s="17" t="str"/>
    </x:row>
    <x:row r="57">
      <x:c r="A57" s="17" t="str">
        <x:v>Ontbreekt</x:v>
      </x:c>
      <x:c r="B57" s="17" t="str">
        <x:v>VIA Amsterdam</x:v>
      </x:c>
      <x:c r="C57" s="17" t="str">
        <x:v>MS* VIAAMSTERDAM</x:v>
      </x:c>
      <x:c r="D57" s="18" t="n">
        <x:v>46216.416666666664</x:v>
      </x:c>
      <x:c r="E57" s="19" t="n">
        <x:v>3.39</x:v>
      </x:c>
      <x:c r="F57" s="17" t="str">
        <x:v>Hotel</x:v>
      </x:c>
      <x:c r="G57" s="17" t="str">
        <x:v>Niet gekoppeld</x:v>
      </x:c>
      <x:c r="H57" s="17" t="str">
        <x:v>AMSTERDAM 12-07-2026 10:06 Pas: 3789</x:v>
      </x:c>
      <x:c r="I57" s="17" t="str"/>
    </x:row>
    <x:row r="58">
      <x:c r="A58" s="17" t="str">
        <x:v>Ontbreekt</x:v>
      </x:c>
      <x:c r="B58" s="17" t="str">
        <x:v>VIA Amsterdam</x:v>
      </x:c>
      <x:c r="C58" s="17" t="str">
        <x:v>MS* VIAAMSTERDAM</x:v>
      </x:c>
      <x:c r="D58" s="18" t="n">
        <x:v>46199.416666666664</x:v>
      </x:c>
      <x:c r="E58" s="19" t="n">
        <x:v>3.39</x:v>
      </x:c>
      <x:c r="F58" s="17" t="str">
        <x:v>Hotel</x:v>
      </x:c>
      <x:c r="G58" s="17" t="str">
        <x:v>Niet gekoppeld</x:v>
      </x:c>
      <x:c r="H58" s="17" t="str">
        <x:v>AMSTERDAM 26-06-2026 06:43 Pas: 3789</x:v>
      </x:c>
      <x:c r="I58" s="17" t="str"/>
    </x:row>
    <x:row r="59">
      <x:c r="A59" s="17" t="str">
        <x:v>Ontbreekt</x:v>
      </x:c>
      <x:c r="B59" s="17" t="str">
        <x:v>VIA Amsterdam</x:v>
      </x:c>
      <x:c r="C59" s="17" t="str">
        <x:v>MS* VIAAMSTERDAM</x:v>
      </x:c>
      <x:c r="D59" s="18" t="n">
        <x:v>46198.416666666664</x:v>
      </x:c>
      <x:c r="E59" s="19" t="n">
        <x:v>3.39</x:v>
      </x:c>
      <x:c r="F59" s="17" t="str">
        <x:v>Hotel</x:v>
      </x:c>
      <x:c r="G59" s="17" t="str">
        <x:v>Niet gekoppeld</x:v>
      </x:c>
      <x:c r="H59" s="17" t="str">
        <x:v>AMSTERDAM 25-06-2026 06:35 Pas: 3789</x:v>
      </x:c>
      <x:c r="I59" s="17" t="str"/>
    </x:row>
    <x:row r="60">
      <x:c r="A60" s="17" t="str">
        <x:v>Ontbreekt</x:v>
      </x:c>
      <x:c r="B60" s="17" t="str">
        <x:v>VIA Amsterdam</x:v>
      </x:c>
      <x:c r="C60" s="17" t="str">
        <x:v>MS* VIAAMSTERDAM</x:v>
      </x:c>
      <x:c r="D60" s="18" t="n">
        <x:v>46195.416666666664</x:v>
      </x:c>
      <x:c r="E60" s="19" t="n">
        <x:v>3.3</x:v>
      </x:c>
      <x:c r="F60" s="17" t="str">
        <x:v>Hotel</x:v>
      </x:c>
      <x:c r="G60" s="17" t="str">
        <x:v>Niet gekoppeld</x:v>
      </x:c>
      <x:c r="H60" s="17" t="str">
        <x:v>AMSTERDAM 20-06-2026 03:56 Pas: 3789</x:v>
      </x:c>
      <x:c r="I60" s="17" t="str"/>
    </x:row>
    <x:row r="61">
      <x:c r="A61" s="17" t="str">
        <x:v>Ontbreekt</x:v>
      </x:c>
      <x:c r="B61" s="17" t="str">
        <x:v>XXL Direct</x:v>
      </x:c>
      <x:c r="C61" s="17" t="str">
        <x:v>xxldirect.nl</x:v>
      </x:c>
      <x:c r="D61" s="18" t="n">
        <x:v>46230.416666666664</x:v>
      </x:c>
      <x:c r="E61" s="19" t="n">
        <x:v>313.28</x:v>
      </x:c>
      <x:c r="F61" s="17" t="str">
        <x:v>Overig</x:v>
      </x:c>
      <x:c r="G61" s="17" t="str">
        <x:v>Niet gekoppeld</x:v>
      </x:c>
      <x:c r="H61" s="17" t="str">
        <x:v>36274604 8030204147821799 XXL Direct</x:v>
      </x:c>
      <x:c r="I61" s="17" t="str"/>
    </x:row>
  </x:sheetData>
  <x:mergeCells>
    <x:mergeCell ref="A1:I1"/>
    <x:mergeCell ref="A2:I2"/>
    <x:mergeCell ref="A4:I4"/>
  </x:mergeCells>
  <x:conditionalFormatting sqref="A7:A61">
    <x:cfRule type="containsText" dxfId="0" priority="1" operator="containsText" text="Ontbreekt"/>
    <x:cfRule type="containsText" dxfId="1" priority="2" operator="containsText" text="Aangevraagd"/>
    <x:cfRule type="containsText" dxfId="2" priority="3" operator="containsText" text="Ontvangen"/>
    <x:cfRule type="containsText" dxfId="3" priority="4" operator="containsText" text="Gekoppeld"/>
  </x:conditionalFormatting>
  <x:dataValidations count="1">
    <x:dataValidation type="list" sqref="A7:A61">
      <x:formula1>"Ontbreekt,Aangevraagd,Ontvangen,Gekoppeld,Geen bon"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0ef4aca7e748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30" hidden="0" customWidth="1"/>
    <x:col min="4" max="4" width="14" hidden="0" customWidth="1"/>
    <x:col min="5" max="5" width="15" hidden="0" customWidth="1"/>
    <x:col min="6" max="6" width="22" hidden="0" customWidth="1"/>
    <x:col min="7" max="7" width="54" hidden="0" customWidth="1"/>
    <x:col min="8" max="8" width="28" hidden="0" customWidth="1"/>
  </x:cols>
  <x:sheetData>
    <x:row r="1" ht="30" customHeight="1">
      <x:c r="A1" s="3" t="str">
        <x:v>Papieren benzinebonnen</x:v>
      </x:c>
      <x:c r="B1" s="3"/>
      <x:c r="C1" s="3"/>
      <x:c r="D1" s="3"/>
      <x:c r="E1" s="3"/>
      <x:c r="F1" s="3"/>
      <x:c r="G1" s="3"/>
      <x:c r="H1" s="3"/>
    </x:row>
    <x:row r="2" ht="34" customHeight="1">
      <x:c r="A2" s="6" t="str">
        <x:v>Deze transacties hebben een fysiek bonnetje. Maak een foto en koppel die daarna in Calvora.</x:v>
      </x:c>
      <x:c r="B2" s="6"/>
      <x:c r="C2" s="6"/>
      <x:c r="D2" s="6"/>
      <x:c r="E2" s="6"/>
      <x:c r="F2" s="6"/>
      <x:c r="G2" s="6"/>
      <x:c r="H2" s="6"/>
    </x:row>
    <x:row r="4">
      <x:c r="A4" s="14" t="str">
        <x:v>Tankbedragen onder €10 blijven genegeerd en staan op het tabblad Uitgesloten.</x:v>
      </x:c>
      <x:c r="B4" s="14"/>
      <x:c r="C4" s="14"/>
      <x:c r="D4" s="14"/>
      <x:c r="E4" s="14"/>
      <x:c r="F4" s="14"/>
      <x:c r="G4" s="14"/>
      <x:c r="H4" s="14"/>
    </x:row>
    <x:row r="6">
      <x:c r="A6" s="17" t="str">
        <x:v>Status</x:v>
      </x:c>
      <x:c r="B6" s="17" t="str">
        <x:v>Leveranciersgroep</x:v>
      </x:c>
      <x:c r="C6" s="17" t="str">
        <x:v>Originele banknaam</x:v>
      </x:c>
      <x:c r="D6" s="17" t="str">
        <x:v>Datum</x:v>
      </x:c>
      <x:c r="E6" s="17" t="str">
        <x:v>Bedrag</x:v>
      </x:c>
      <x:c r="F6" s="17" t="str">
        <x:v>Project</x:v>
      </x:c>
      <x:c r="G6" s="17" t="str">
        <x:v>Omschrijving</x:v>
      </x:c>
      <x:c r="H6" s="17" t="str">
        <x:v>Notities</x:v>
      </x:c>
    </x:row>
    <x:row r="7">
      <x:c r="A7" s="17" t="str">
        <x:v>Nog fotograferen</x:v>
      </x:c>
      <x:c r="B7" s="17" t="str">
        <x:v>Argos</x:v>
      </x:c>
      <x:c r="C7" s="17" t="str">
        <x:v>Argos Zeist</x:v>
      </x:c>
      <x:c r="D7" s="18" t="n">
        <x:v>46216.416666666664</x:v>
      </x:c>
      <x:c r="E7" s="19" t="n">
        <x:v>29.37</x:v>
      </x:c>
      <x:c r="F7" s="17" t="str">
        <x:v>Niet gekoppeld</x:v>
      </x:c>
      <x:c r="G7" s="17" t="str">
        <x:v>ZEIST 11-07-2026 20:37 Pas: 3789</x:v>
      </x:c>
      <x:c r="H7" s="17" t="str"/>
    </x:row>
    <x:row r="8">
      <x:c r="A8" s="17" t="str">
        <x:v>Nog fotograferen</x:v>
      </x:c>
      <x:c r="B8" s="17" t="str">
        <x:v>BP</x:v>
      </x:c>
      <x:c r="C8" s="17" t="str">
        <x:v>BP D!Vers Woerden</x:v>
      </x:c>
      <x:c r="D8" s="18" t="n">
        <x:v>46247.416666666664</x:v>
      </x:c>
      <x:c r="E8" s="19" t="n">
        <x:v>39.74</x:v>
      </x:c>
      <x:c r="F8" s="17" t="str">
        <x:v>Niet gekoppeld</x:v>
      </x:c>
      <x:c r="G8" s="17" t="str">
        <x:v>WOERDEN 13-08-2026 12:00 Pas: 3789</x:v>
      </x:c>
      <x:c r="H8" s="17" t="str"/>
    </x:row>
    <x:row r="9">
      <x:c r="A9" s="17" t="str">
        <x:v>Nog fotograferen</x:v>
      </x:c>
      <x:c r="B9" s="17" t="str">
        <x:v>Esso</x:v>
      </x:c>
      <x:c r="C9" s="17" t="str">
        <x:v>ESSO EXPRESS VELSERBRO</x:v>
      </x:c>
      <x:c r="D9" s="18" t="n">
        <x:v>46227.416666666664</x:v>
      </x:c>
      <x:c r="E9" s="19" t="n">
        <x:v>29.85</x:v>
      </x:c>
      <x:c r="F9" s="17" t="str">
        <x:v>Niet gekoppeld</x:v>
      </x:c>
      <x:c r="G9" s="17" t="str">
        <x:v>VELSERBROEK 24-07-2026 10:48 Pas: 3789</x:v>
      </x:c>
      <x:c r="H9" s="17" t="str"/>
    </x:row>
    <x:row r="10">
      <x:c r="A10" s="17" t="str">
        <x:v>Nog fotograferen</x:v>
      </x:c>
      <x:c r="B10" s="17" t="str">
        <x:v>Esso</x:v>
      </x:c>
      <x:c r="C10" s="17" t="str">
        <x:v>ESSO ISSELT</x:v>
      </x:c>
      <x:c r="D10" s="18" t="n">
        <x:v>46216.416666666664</x:v>
      </x:c>
      <x:c r="E10" s="19" t="n">
        <x:v>126.33</x:v>
      </x:c>
      <x:c r="F10" s="17" t="str">
        <x:v>Niet gekoppeld</x:v>
      </x:c>
      <x:c r="G10" s="17" t="str">
        <x:v>AMERSFOORT 12-07-2026 09:02 Pas: 3789</x:v>
      </x:c>
      <x:c r="H10" s="17" t="str"/>
    </x:row>
    <x:row r="11">
      <x:c r="A11" s="17" t="str">
        <x:v>Nog fotograferen</x:v>
      </x:c>
      <x:c r="B11" s="17" t="str">
        <x:v>OK Rotterdam HS</x:v>
      </x:c>
      <x:c r="C11" s="17" t="str">
        <x:v>OK Rotterdam HS</x:v>
      </x:c>
      <x:c r="D11" s="18" t="n">
        <x:v>46241.416666666664</x:v>
      </x:c>
      <x:c r="E11" s="19" t="n">
        <x:v>101.27</x:v>
      </x:c>
      <x:c r="F11" s="17" t="str">
        <x:v>Niet gekoppeld</x:v>
      </x:c>
      <x:c r="G11" s="17" t="str">
        <x:v>ROTTERDAM 07-08-2026 13:02 Pas: 3789</x:v>
      </x:c>
      <x:c r="H11" s="17" t="str"/>
    </x:row>
    <x:row r="12">
      <x:c r="A12" s="17" t="str">
        <x:v>Nog fotograferen</x:v>
      </x:c>
      <x:c r="B12" s="17" t="str">
        <x:v>OK Rotterdam HS</x:v>
      </x:c>
      <x:c r="C12" s="17" t="str">
        <x:v>OK Rotterdam HS</x:v>
      </x:c>
      <x:c r="D12" s="18" t="n">
        <x:v>46231.416666666664</x:v>
      </x:c>
      <x:c r="E12" s="19" t="n">
        <x:v>46.84</x:v>
      </x:c>
      <x:c r="F12" s="17" t="str">
        <x:v>Niet gekoppeld</x:v>
      </x:c>
      <x:c r="G12" s="17" t="str">
        <x:v>ROTTERDAM 28-07-2026 18:28 Pas: 3789</x:v>
      </x:c>
      <x:c r="H12" s="17" t="str"/>
    </x:row>
    <x:row r="13">
      <x:c r="A13" s="17" t="str">
        <x:v>Nog fotograferen</x:v>
      </x:c>
      <x:c r="B13" s="17" t="str">
        <x:v>Shell</x:v>
      </x:c>
      <x:c r="C13" s="17" t="str">
        <x:v>BCK*Shell Stat Thorbec</x:v>
      </x:c>
      <x:c r="D13" s="18" t="n">
        <x:v>46244.416666666664</x:v>
      </x:c>
      <x:c r="E13" s="19" t="n">
        <x:v>121.16</x:v>
      </x:c>
      <x:c r="F13" s="17" t="str">
        <x:v>Niet gekoppeld</x:v>
      </x:c>
      <x:c r="G13" s="17" t="str">
        <x:v>ZAANDAM 10-08-2026 09:59 Pas: 3789</x:v>
      </x:c>
      <x:c r="H13" s="17" t="str"/>
    </x:row>
    <x:row r="14">
      <x:c r="A14" s="17" t="str">
        <x:v>Nog fotograferen</x:v>
      </x:c>
      <x:c r="B14" s="17" t="str">
        <x:v>Shell</x:v>
      </x:c>
      <x:c r="C14" s="17" t="str">
        <x:v>BCK*Shell E Santpoort</x:v>
      </x:c>
      <x:c r="D14" s="18" t="n">
        <x:v>46226.416666666664</x:v>
      </x:c>
      <x:c r="E14" s="19" t="n">
        <x:v>20.27</x:v>
      </x:c>
      <x:c r="F14" s="17" t="str">
        <x:v>Niet gekoppeld</x:v>
      </x:c>
      <x:c r="G14" s="17" t="str">
        <x:v>SANTPOORT NO 23-07-2026 09:13 Pas: 3789</x:v>
      </x:c>
      <x:c r="H14" s="17" t="str"/>
    </x:row>
    <x:row r="15">
      <x:c r="A15" s="17" t="str">
        <x:v>Nog fotograferen</x:v>
      </x:c>
      <x:c r="B15" s="17" t="str">
        <x:v>Shell</x:v>
      </x:c>
      <x:c r="C15" s="17" t="str">
        <x:v>BCK*SHELL HAARRIJN</x:v>
      </x:c>
      <x:c r="D15" s="18" t="n">
        <x:v>46209.416666666664</x:v>
      </x:c>
      <x:c r="E15" s="19" t="n">
        <x:v>15.31</x:v>
      </x:c>
      <x:c r="F15" s="17" t="str">
        <x:v>Niet gekoppeld</x:v>
      </x:c>
      <x:c r="G15" s="17" t="str">
        <x:v>BREUKELEN UT 04-07-2026 13:11 Pas: 3789</x:v>
      </x:c>
      <x:c r="H15" s="17" t="str"/>
    </x:row>
    <x:row r="16">
      <x:c r="A16" s="17" t="str">
        <x:v>Nog fotograferen</x:v>
      </x:c>
      <x:c r="B16" s="17" t="str">
        <x:v>Total</x:v>
      </x:c>
      <x:c r="C16" s="17" t="str">
        <x:v>Total Nn001346 De Veen</x:v>
      </x:c>
      <x:c r="D16" s="18" t="n">
        <x:v>46261.416666666664</x:v>
      </x:c>
      <x:c r="E16" s="19" t="n">
        <x:v>80.83</x:v>
      </x:c>
      <x:c r="F16" s="17" t="str">
        <x:v>Niet gekoppeld</x:v>
      </x:c>
      <x:c r="G16" s="17" t="str">
        <x:v>De Veenen 27-08-2026 19:01 Pas: 3789</x:v>
      </x:c>
      <x:c r="H16" s="17" t="str"/>
    </x:row>
    <x:row r="17">
      <x:c r="A17" s="17" t="str">
        <x:v>Nog fotograferen</x:v>
      </x:c>
      <x:c r="B17" s="17" t="str">
        <x:v>Total</x:v>
      </x:c>
      <x:c r="C17" s="17" t="str">
        <x:v>Total Nn001244 Zeewold</x:v>
      </x:c>
      <x:c r="D17" s="18" t="n">
        <x:v>46258.416666666664</x:v>
      </x:c>
      <x:c r="E17" s="19" t="n">
        <x:v>162.49</x:v>
      </x:c>
      <x:c r="F17" s="17" t="str">
        <x:v>Niet gekoppeld</x:v>
      </x:c>
      <x:c r="G17" s="17" t="str">
        <x:v>Zeewolde 23-08-2026 13:25 Pas: 3789</x:v>
      </x:c>
      <x:c r="H17" s="17" t="str"/>
    </x:row>
    <x:row r="18">
      <x:c r="A18" s="17" t="str">
        <x:v>Nog fotograferen</x:v>
      </x:c>
      <x:c r="B18" s="17" t="str">
        <x:v>Total</x:v>
      </x:c>
      <x:c r="C18" s="17" t="str">
        <x:v>Total Nn001244 Zeewold</x:v>
      </x:c>
      <x:c r="D18" s="18" t="n">
        <x:v>46253.416666666664</x:v>
      </x:c>
      <x:c r="E18" s="19" t="n">
        <x:v>165.72</x:v>
      </x:c>
      <x:c r="F18" s="17" t="str">
        <x:v>Niet gekoppeld</x:v>
      </x:c>
      <x:c r="G18" s="17" t="str">
        <x:v>Zeewolde 19-08-2026 07:45 Pas: 3789</x:v>
      </x:c>
      <x:c r="H18" s="17" t="str"/>
    </x:row>
    <x:row r="19">
      <x:c r="A19" s="17" t="str">
        <x:v>Nog fotograferen</x:v>
      </x:c>
      <x:c r="B19" s="17" t="str">
        <x:v>Total</x:v>
      </x:c>
      <x:c r="C19" s="17" t="str">
        <x:v>Total Nn001244 Zeewold</x:v>
      </x:c>
      <x:c r="D19" s="18" t="n">
        <x:v>46248.416666666664</x:v>
      </x:c>
      <x:c r="E19" s="19" t="n">
        <x:v>167.7</x:v>
      </x:c>
      <x:c r="F19" s="17" t="str">
        <x:v>Niet gekoppeld</x:v>
      </x:c>
      <x:c r="G19" s="17" t="str">
        <x:v>Zeewolde 14-08-2026 07:17 Pas: 3789</x:v>
      </x:c>
      <x:c r="H19" s="17" t="str"/>
    </x:row>
    <x:row r="20">
      <x:c r="A20" s="17" t="str">
        <x:v>Nog fotograferen</x:v>
      </x:c>
      <x:c r="B20" s="17" t="str">
        <x:v>Total</x:v>
      </x:c>
      <x:c r="C20" s="17" t="str">
        <x:v>Total Nn001657 Bodegra</x:v>
      </x:c>
      <x:c r="D20" s="18" t="n">
        <x:v>46216.416666666664</x:v>
      </x:c>
      <x:c r="E20" s="19" t="n">
        <x:v>20.03</x:v>
      </x:c>
      <x:c r="F20" s="17" t="str">
        <x:v>Niet gekoppeld</x:v>
      </x:c>
      <x:c r="G20" s="17" t="str">
        <x:v>Bodegraven 11-07-2026 15:34 Pas: 3789</x:v>
      </x:c>
      <x:c r="H20" s="17" t="str"/>
    </x:row>
    <x:row r="21">
      <x:c r="A21" s="17" t="str">
        <x:v>Nog fotograferen</x:v>
      </x:c>
      <x:c r="B21" s="17" t="str">
        <x:v>Total</x:v>
      </x:c>
      <x:c r="C21" s="17" t="str">
        <x:v>Total Vissers De Ijsse</x:v>
      </x:c>
      <x:c r="D21" s="18" t="n">
        <x:v>46198.416666666664</x:v>
      </x:c>
      <x:c r="E21" s="19" t="n">
        <x:v>19.81</x:v>
      </x:c>
      <x:c r="F21" s="17" t="str">
        <x:v>Niet gekoppeld</x:v>
      </x:c>
      <x:c r="G21" s="17" t="str">
        <x:v>NIEUWEGEIN 25-06-2026 17:55 Pas: 3789</x:v>
      </x:c>
      <x:c r="H21" s="17" t="str"/>
    </x:row>
  </x:sheetData>
  <x:mergeCells>
    <x:mergeCell ref="A1:H1"/>
    <x:mergeCell ref="A2:H2"/>
    <x:mergeCell ref="A4:H4"/>
  </x:mergeCells>
  <x:conditionalFormatting sqref="A7:A21">
    <x:cfRule type="containsText" dxfId="4" priority="1" operator="containsText" text="Nog fotograferen"/>
    <x:cfRule type="containsText" dxfId="5" priority="2" operator="containsText" text="Gekoppeld"/>
  </x:conditionalFormatting>
  <x:dataValidations count="1">
    <x:dataValidation type="list" sqref="A7:A21">
      <x:formula1>"Nog fotograferen,Foto gemaakt,Gekoppeld,Geen bon"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f38277f27a4f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34" hidden="0" customWidth="1"/>
    <x:col min="4" max="4" width="14" hidden="0" customWidth="1"/>
    <x:col min="5" max="5" width="15" hidden="0" customWidth="1"/>
    <x:col min="6" max="6" width="16" hidden="0" customWidth="1"/>
    <x:col min="7" max="7" width="22" hidden="0" customWidth="1"/>
    <x:col min="8" max="8" width="54" hidden="0" customWidth="1"/>
  </x:cols>
  <x:sheetData>
    <x:row r="1" ht="30" customHeight="1">
      <x:c r="A1" s="3" t="str">
        <x:v>Kosten zonder documentplicht</x:v>
      </x:c>
      <x:c r="B1" s="3"/>
      <x:c r="C1" s="3"/>
      <x:c r="D1" s="3"/>
      <x:c r="E1" s="3"/>
      <x:c r="F1" s="3"/>
      <x:c r="G1" s="3"/>
      <x:c r="H1" s="3"/>
    </x:row>
    <x:row r="2" ht="34" customHeight="1">
      <x:c r="A2" s="6" t="str">
        <x:v>Deze regels blijven volledig in Kosten staan, maar vragen geen factuur of bon voor deze werklijst.</x:v>
      </x:c>
      <x:c r="B2" s="6"/>
      <x:c r="C2" s="6"/>
      <x:c r="D2" s="6"/>
      <x:c r="E2" s="6"/>
      <x:c r="F2" s="6"/>
      <x:c r="G2" s="6"/>
      <x:c r="H2" s="6"/>
    </x:row>
    <x:row r="4">
      <x:c r="A4" s="21" t="str">
        <x:v>Bevat Derks Lease-boetes onder €200 en alle regels in de categorie Schulden.</x:v>
      </x:c>
      <x:c r="B4" s="21"/>
      <x:c r="C4" s="21"/>
      <x:c r="D4" s="21"/>
      <x:c r="E4" s="21"/>
      <x:c r="F4" s="21"/>
      <x:c r="G4" s="21"/>
      <x:c r="H4" s="21"/>
    </x:row>
    <x:row r="6">
      <x:c r="A6" s="17" t="str">
        <x:v>Reden</x:v>
      </x:c>
      <x:c r="B6" s="17" t="str">
        <x:v>Leveranciersgroep</x:v>
      </x:c>
      <x:c r="C6" s="17" t="str">
        <x:v>Originele banknaam</x:v>
      </x:c>
      <x:c r="D6" s="17" t="str">
        <x:v>Datum</x:v>
      </x:c>
      <x:c r="E6" s="17" t="str">
        <x:v>Bedrag</x:v>
      </x:c>
      <x:c r="F6" s="17" t="str">
        <x:v>Categorie</x:v>
      </x:c>
      <x:c r="G6" s="17" t="str">
        <x:v>Project</x:v>
      </x:c>
      <x:c r="H6" s="17" t="str">
        <x:v>Omschrijving</x:v>
      </x:c>
    </x:row>
    <x:row r="7">
      <x:c r="A7" s="17" t="str">
        <x:v>Schuld — geen factuur nodig</x:v>
      </x:c>
      <x:c r="B7" s="17" t="str">
        <x:v>Creman</x:v>
      </x:c>
      <x:c r="C7" s="17" t="str">
        <x:v>Stichting Derdengelden Creman</x:v>
      </x:c>
      <x:c r="D7" s="18" t="n">
        <x:v>46258.416666666664</x:v>
      </x:c>
      <x:c r="E7" s="19" t="n">
        <x:v>727.73</x:v>
      </x:c>
      <x:c r="F7" s="17" t="str">
        <x:v>Schulden</x:v>
      </x:c>
      <x:c r="G7" s="17" t="str">
        <x:v>Niet gekoppeld</x:v>
      </x:c>
      <x:c r="H7" s="17" t="str">
        <x:v>M07653151MS3A5B0 0380245007860005 Mollie payment 1003086 creman.nl</x:v>
      </x:c>
    </x:row>
    <x:row r="8">
      <x:c r="A8" s="17" t="str">
        <x:v>Schuld — geen factuur nodig</x:v>
      </x:c>
      <x:c r="B8" s="17" t="str">
        <x:v>Creman</x:v>
      </x:c>
      <x:c r="C8" s="17" t="str">
        <x:v>Stichting Derdengelden Creman via S</x:v>
      </x:c>
      <x:c r="D8" s="18" t="n">
        <x:v>46224.416666666664</x:v>
      </x:c>
      <x:c r="E8" s="19" t="n">
        <x:v>727.73</x:v>
      </x:c>
      <x:c r="F8" s="17" t="str">
        <x:v>Schulden</x:v>
      </x:c>
      <x:c r="G8" s="17" t="str">
        <x:v>Niet gekoppeld</x:v>
      </x:c>
      <x:c r="H8" s="17" t="str">
        <x:v>2131ea03d2b1e6721789c818f888c85d 8152214441741540 Mollie payment 1003086 creman.nl Stichting Derdengelden Creman</x:v>
      </x:c>
    </x:row>
    <x:row r="9">
      <x:c r="A9" s="17" t="str">
        <x:v>Boete onder €200 — geen bon nodig</x:v>
      </x:c>
      <x:c r="B9" s="17" t="str">
        <x:v>Derks Lease</x:v>
      </x:c>
      <x:c r="C9" s="17" t="str">
        <x:v>Derks Lease B.V.</x:v>
      </x:c>
      <x:c r="D9" s="18" t="n">
        <x:v>46195.416666666664</x:v>
      </x:c>
      <x:c r="E9" s="19" t="n">
        <x:v>139.13</x:v>
      </x:c>
      <x:c r="F9" s="17" t="str">
        <x:v>Boetes</x:v>
      </x:c>
      <x:c r="G9" s="17" t="str">
        <x:v>Niet gekoppeld</x:v>
      </x:c>
      <x:c r="H9" s="17" t="str">
        <x:v>3461988453Xd539f 7370144448644204 56262173</x:v>
      </x:c>
    </x:row>
    <x:row r="10">
      <x:c r="A10" s="17" t="str">
        <x:v>Boete onder €200 — geen bon nodig</x:v>
      </x:c>
      <x:c r="B10" s="17" t="str">
        <x:v>Derks Lease</x:v>
      </x:c>
      <x:c r="C10" s="17" t="str">
        <x:v>Derks Lease B.V.</x:v>
      </x:c>
      <x:c r="D10" s="18" t="n">
        <x:v>46195.416666666664</x:v>
      </x:c>
      <x:c r="E10" s="19" t="n">
        <x:v>61.13</x:v>
      </x:c>
      <x:c r="F10" s="17" t="str">
        <x:v>Boetes</x:v>
      </x:c>
      <x:c r="G10" s="17" t="str">
        <x:v>Niet gekoppeld</x:v>
      </x:c>
      <x:c r="H10" s="17" t="str">
        <x:v>3461983854X0dfde 7370475024584216 56262189</x:v>
      </x:c>
    </x:row>
  </x:sheetData>
  <x:mergeCells>
    <x:mergeCell ref="A1:H1"/>
    <x:mergeCell ref="A2:H2"/>
    <x:mergeCell ref="A4:H4"/>
  </x:mergeCells>
  <x:pageMargins left="0.7" right="0.7" top="0.75" bottom="0.75" header="0.3" footer="0.3"/>
  <x:tableParts count="1">
    <x:tablePart xmlns:r="http://schemas.openxmlformats.org/officeDocument/2006/relationships" r:id="Rece9fb974b5742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30" hidden="0" customWidth="1"/>
    <x:col min="4" max="4" width="14" hidden="0" customWidth="1"/>
    <x:col min="5" max="5" width="15" hidden="0" customWidth="1"/>
    <x:col min="6" max="6" width="16" hidden="0" customWidth="1"/>
    <x:col min="7" max="7" width="22" hidden="0" customWidth="1"/>
    <x:col min="8" max="8" width="54" hidden="0" customWidth="1"/>
  </x:cols>
  <x:sheetData>
    <x:row r="1" ht="30" customHeight="1">
      <x:c r="A1" s="3" t="str">
        <x:v>Uitgesloten transacties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6" t="str">
        <x:v>Deze regels vragen bewust geen factuuractie en tellen niet mee in de werklijst.</x:v>
      </x:c>
      <x:c r="B2" s="6"/>
      <x:c r="C2" s="6"/>
      <x:c r="D2" s="6"/>
      <x:c r="E2" s="6"/>
      <x:c r="F2" s="6"/>
      <x:c r="G2" s="6"/>
      <x:c r="H2" s="6"/>
    </x:row>
    <x:row r="4">
      <x:c r="A4" s="21" t="str">
        <x:v>Regel: alle bunq-transacties en tankstationbedragen onder €10 negeren.</x:v>
      </x:c>
      <x:c r="B4" s="21"/>
      <x:c r="C4" s="21"/>
      <x:c r="D4" s="21"/>
      <x:c r="E4" s="21"/>
      <x:c r="F4" s="21"/>
      <x:c r="G4" s="21"/>
      <x:c r="H4" s="21"/>
    </x:row>
    <x:row r="6">
      <x:c r="A6" s="17" t="str">
        <x:v>Reden</x:v>
      </x:c>
      <x:c r="B6" s="17" t="str">
        <x:v>Leveranciersgroep</x:v>
      </x:c>
      <x:c r="C6" s="17" t="str">
        <x:v>Originele banknaam</x:v>
      </x:c>
      <x:c r="D6" s="17" t="str">
        <x:v>Datum</x:v>
      </x:c>
      <x:c r="E6" s="17" t="str">
        <x:v>Bedrag</x:v>
      </x:c>
      <x:c r="F6" s="17" t="str">
        <x:v>Categorie</x:v>
      </x:c>
      <x:c r="G6" s="17" t="str">
        <x:v>Project</x:v>
      </x:c>
      <x:c r="H6" s="17" t="str">
        <x:v>Omschrijving</x:v>
      </x:c>
    </x:row>
    <x:row r="7">
      <x:c r="A7" s="17" t="str">
        <x:v>Tankstation onder €10 — geen bon</x:v>
      </x:c>
      <x:c r="B7" s="17" t="str">
        <x:v>BP</x:v>
      </x:c>
      <x:c r="C7" s="17" t="str">
        <x:v>.</x:v>
      </x:c>
      <x:c r="D7" s="18" t="n">
        <x:v>46230.416666666664</x:v>
      </x:c>
      <x:c r="E7" s="19" t="n">
        <x:v>9.6</x:v>
      </x:c>
      <x:c r="F7" s="17" t="str">
        <x:v>Benzine</x:v>
      </x:c>
      <x:c r="G7" s="17" t="str">
        <x:v>Niet gekoppeld</x:v>
      </x:c>
      <x:c r="H7" s="17" t="str">
        <x:v>BP LarserdreefLELYSTAD 25-07-2026 Pas: 3789</x:v>
      </x:c>
    </x:row>
    <x:row r="8">
      <x:c r="A8" s="17" t="str">
        <x:v>Tankstation onder €10 — geen bon</x:v>
      </x:c>
      <x:c r="B8" s="17" t="str">
        <x:v>BP</x:v>
      </x:c>
      <x:c r="C8" s="17" t="str">
        <x:v>Bp De Engh</x:v>
      </x:c>
      <x:c r="D8" s="18" t="n">
        <x:v>46217.416666666664</x:v>
      </x:c>
      <x:c r="E8" s="19" t="n">
        <x:v>3.1</x:v>
      </x:c>
      <x:c r="F8" s="17" t="str">
        <x:v>Benzine</x:v>
      </x:c>
      <x:c r="G8" s="17" t="str">
        <x:v>Niet gekoppeld</x:v>
      </x:c>
      <x:c r="H8" s="17" t="str">
        <x:v>DRIEBERGEN R 14-07-2026 08:07 Pas: 3789</x:v>
      </x:c>
    </x:row>
    <x:row r="9">
      <x:c r="A9" s="17" t="str">
        <x:v>Tankstation onder €10 — geen bon</x:v>
      </x:c>
      <x:c r="B9" s="17" t="str">
        <x:v>Esso</x:v>
      </x:c>
      <x:c r="C9" s="17" t="str">
        <x:v>Esso Bunnik</x:v>
      </x:c>
      <x:c r="D9" s="18" t="n">
        <x:v>46244.416666666664</x:v>
      </x:c>
      <x:c r="E9" s="19" t="n">
        <x:v>6.25</x:v>
      </x:c>
      <x:c r="F9" s="17" t="str">
        <x:v>Benzine</x:v>
      </x:c>
      <x:c r="G9" s="17" t="str">
        <x:v>Niet gekoppeld</x:v>
      </x:c>
      <x:c r="H9" s="17" t="str">
        <x:v>BUNNIK 10-08-2026 14:24 Pas: 3789</x:v>
      </x:c>
    </x:row>
    <x:row r="10">
      <x:c r="A10" s="17" t="str">
        <x:v>Tankstation onder €10 — geen bon</x:v>
      </x:c>
      <x:c r="B10" s="17" t="str">
        <x:v>Esso</x:v>
      </x:c>
      <x:c r="C10" s="17" t="str">
        <x:v>ESSO UITGEEST RIJKSWEG</x:v>
      </x:c>
      <x:c r="D10" s="18" t="n">
        <x:v>46237.416666666664</x:v>
      </x:c>
      <x:c r="E10" s="19" t="n">
        <x:v>3.5</x:v>
      </x:c>
      <x:c r="F10" s="17" t="str">
        <x:v>Benzine</x:v>
      </x:c>
      <x:c r="G10" s="17" t="str">
        <x:v>Niet gekoppeld</x:v>
      </x:c>
      <x:c r="H10" s="17" t="str">
        <x:v>UITGEEST 01-08-2026 07:45 Pas: 3789</x:v>
      </x:c>
    </x:row>
    <x:row r="11">
      <x:c r="A11" s="17" t="str">
        <x:v>Tankstation onder €10 — geen bon</x:v>
      </x:c>
      <x:c r="B11" s="17" t="str">
        <x:v>Shell</x:v>
      </x:c>
      <x:c r="C11" s="17" t="str">
        <x:v>BCK*SHELL DE LUCHT WES</x:v>
      </x:c>
      <x:c r="D11" s="18" t="n">
        <x:v>46217.416666666664</x:v>
      </x:c>
      <x:c r="E11" s="19" t="n">
        <x:v>9.92</x:v>
      </x:c>
      <x:c r="F11" s="17" t="str">
        <x:v>Benzine</x:v>
      </x:c>
      <x:c r="G11" s="17" t="str">
        <x:v>Niet gekoppeld</x:v>
      </x:c>
      <x:c r="H11" s="17" t="str">
        <x:v>BRUCHEM 14-07-2026 20:07 Pas: 3789</x:v>
      </x:c>
    </x:row>
    <x:row r="12">
      <x:c r="A12" s="17" t="str">
        <x:v>Tankstation onder €10 — geen bon</x:v>
      </x:c>
      <x:c r="B12" s="17" t="str">
        <x:v>Shell</x:v>
      </x:c>
      <x:c r="C12" s="17" t="str">
        <x:v>NL0724 SHELL STATION M</x:v>
      </x:c>
      <x:c r="D12" s="18" t="n">
        <x:v>46210.416666666664</x:v>
      </x:c>
      <x:c r="E12" s="19" t="n">
        <x:v>3.1</x:v>
      </x:c>
      <x:c r="F12" s="17" t="str">
        <x:v>Benzine</x:v>
      </x:c>
      <x:c r="G12" s="17" t="str">
        <x:v>Niet gekoppeld</x:v>
      </x:c>
      <x:c r="H12" s="17" t="str">
        <x:v>NIEUWERKERK 07-07-2026 09:40 Pas: 3789</x:v>
      </x:c>
    </x:row>
    <x:row r="13">
      <x:c r="A13" s="17" t="str">
        <x:v>Tankstation onder €10 — geen bon</x:v>
      </x:c>
      <x:c r="B13" s="17" t="str">
        <x:v>Shell</x:v>
      </x:c>
      <x:c r="C13" s="17" t="str">
        <x:v>NL0724 SHELL STATION M</x:v>
      </x:c>
      <x:c r="D13" s="18" t="n">
        <x:v>46210.416666666664</x:v>
      </x:c>
      <x:c r="E13" s="19" t="n">
        <x:v>3.1</x:v>
      </x:c>
      <x:c r="F13" s="17" t="str">
        <x:v>Benzine</x:v>
      </x:c>
      <x:c r="G13" s="17" t="str">
        <x:v>Niet gekoppeld</x:v>
      </x:c>
      <x:c r="H13" s="17" t="str">
        <x:v>NIEUWERKERK 07-07-2026 09:40 Pas: 3789</x:v>
      </x:c>
    </x:row>
    <x:row r="14">
      <x:c r="A14" s="17" t="str">
        <x:v>Tankstation onder €10 — geen bon</x:v>
      </x:c>
      <x:c r="B14" s="17" t="str">
        <x:v>Texaco Zaandam Prins</x:v>
      </x:c>
      <x:c r="C14" s="17" t="str">
        <x:v>Texaco Zaandam Prins</x:v>
      </x:c>
      <x:c r="D14" s="18" t="n">
        <x:v>46238.416666666664</x:v>
      </x:c>
      <x:c r="E14" s="19" t="n">
        <x:v>8</x:v>
      </x:c>
      <x:c r="F14" s="17" t="str">
        <x:v>Benzine</x:v>
      </x:c>
      <x:c r="G14" s="17" t="str">
        <x:v>Niet gekoppeld</x:v>
      </x:c>
      <x:c r="H14" s="17" t="str">
        <x:v>ZAANDAM 04-08-2026 12:41 Pas: 3789</x:v>
      </x:c>
    </x:row>
    <x:row r="15">
      <x:c r="A15" s="17" t="str">
        <x:v>Tankstation onder €10 — geen bon</x:v>
      </x:c>
      <x:c r="B15" s="17" t="str">
        <x:v>Total</x:v>
      </x:c>
      <x:c r="C15" s="17" t="str">
        <x:v>Total Nn001244 Zeewold</x:v>
      </x:c>
      <x:c r="D15" s="18" t="n">
        <x:v>46260.416666666664</x:v>
      </x:c>
      <x:c r="E15" s="19" t="n">
        <x:v>3.9</x:v>
      </x:c>
      <x:c r="F15" s="17" t="str">
        <x:v>Benzine</x:v>
      </x:c>
      <x:c r="G15" s="17" t="str">
        <x:v>Niet gekoppeld</x:v>
      </x:c>
      <x:c r="H15" s="17" t="str">
        <x:v>Zeewolde 26-08-2026 09:19 Pas: 3789</x:v>
      </x:c>
    </x:row>
    <x:row r="16">
      <x:c r="A16" s="17" t="str">
        <x:v>Tankstation onder €10 — geen bon</x:v>
      </x:c>
      <x:c r="B16" s="17" t="str">
        <x:v>Total</x:v>
      </x:c>
      <x:c r="C16" s="17" t="str">
        <x:v>Total Nn001244 Zeewold</x:v>
      </x:c>
      <x:c r="D16" s="18" t="n">
        <x:v>46259.416666666664</x:v>
      </x:c>
      <x:c r="E16" s="19" t="n">
        <x:v>3.9</x:v>
      </x:c>
      <x:c r="F16" s="17" t="str">
        <x:v>Benzine</x:v>
      </x:c>
      <x:c r="G16" s="17" t="str">
        <x:v>Niet gekoppeld</x:v>
      </x:c>
      <x:c r="H16" s="17" t="str">
        <x:v>Zeewolde 25-08-2026 10:12 Pas: 3789</x:v>
      </x:c>
    </x:row>
    <x:row r="17">
      <x:c r="A17" s="17" t="str">
        <x:v>Tankstation onder €10 — geen bon</x:v>
      </x:c>
      <x:c r="B17" s="17" t="str">
        <x:v>Total</x:v>
      </x:c>
      <x:c r="C17" s="17" t="str">
        <x:v>Total Nn001244 Zeewold</x:v>
      </x:c>
      <x:c r="D17" s="18" t="n">
        <x:v>46246.416666666664</x:v>
      </x:c>
      <x:c r="E17" s="19" t="n">
        <x:v>3.9</x:v>
      </x:c>
      <x:c r="F17" s="17" t="str">
        <x:v>Benzine</x:v>
      </x:c>
      <x:c r="G17" s="17" t="str">
        <x:v>Niet gekoppeld</x:v>
      </x:c>
      <x:c r="H17" s="17" t="str">
        <x:v>Zeewolde 12-08-2026 07:28 Pas: 3789</x:v>
      </x:c>
    </x:row>
    <x:row r="18">
      <x:c r="A18" s="17" t="str">
        <x:v>Tankstation onder €10 — geen bon</x:v>
      </x:c>
      <x:c r="B18" s="17" t="str">
        <x:v>Total</x:v>
      </x:c>
      <x:c r="C18" s="17" t="str">
        <x:v>Total Nn001244 Zeewold</x:v>
      </x:c>
      <x:c r="D18" s="18" t="n">
        <x:v>46244.416666666664</x:v>
      </x:c>
      <x:c r="E18" s="19" t="n">
        <x:v>3.9</x:v>
      </x:c>
      <x:c r="F18" s="17" t="str">
        <x:v>Benzine</x:v>
      </x:c>
      <x:c r="G18" s="17" t="str">
        <x:v>Niet gekoppeld</x:v>
      </x:c>
      <x:c r="H18" s="17" t="str">
        <x:v>Zeewolde 08-08-2026 08:26 Pas: 3789</x:v>
      </x:c>
    </x:row>
    <x:row r="19">
      <x:c r="A19" s="17" t="str">
        <x:v>Tankstation onder €10 — geen bon</x:v>
      </x:c>
      <x:c r="B19" s="17" t="str">
        <x:v>Total</x:v>
      </x:c>
      <x:c r="C19" s="17" t="str">
        <x:v>Total Beverwijk</x:v>
      </x:c>
      <x:c r="D19" s="18" t="n">
        <x:v>46238.416666666664</x:v>
      </x:c>
      <x:c r="E19" s="19" t="n">
        <x:v>2</x:v>
      </x:c>
      <x:c r="F19" s="17" t="str">
        <x:v>Benzine</x:v>
      </x:c>
      <x:c r="G19" s="17" t="str">
        <x:v>Niet gekoppeld</x:v>
      </x:c>
      <x:c r="H19" s="17" t="str">
        <x:v>BEVERWIJK 04-08-2026 07:10 Pas: 3789</x:v>
      </x:c>
    </x:row>
  </x:sheetData>
  <x:mergeCells>
    <x:mergeCell ref="A1:H1"/>
    <x:mergeCell ref="A2:H2"/>
    <x:mergeCell ref="A4:H4"/>
  </x:mergeCells>
  <x:pageMargins left="0.7" right="0.7" top="0.75" bottom="0.75" header="0.3" footer="0.3"/>
  <x:tableParts count="1">
    <x:tablePart xmlns:r="http://schemas.openxmlformats.org/officeDocument/2006/relationships" r:id="Ra03a7074cd524a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4" hidden="0" customWidth="1"/>
    <x:col min="3" max="3" width="29" hidden="0" customWidth="1"/>
    <x:col min="4" max="4" width="14" hidden="0" customWidth="1"/>
    <x:col min="5" max="5" width="14" hidden="0" customWidth="1"/>
    <x:col min="6" max="6" width="17" hidden="0" customWidth="1"/>
    <x:col min="7" max="7" width="27" hidden="0" customWidth="1"/>
    <x:col min="8" max="8" width="54" hidden="0" customWidth="1"/>
    <x:col min="9" max="9" width="40" hidden="0" customWidth="1"/>
    <x:col min="10" max="10" width="44" hidden="0" customWidth="1"/>
    <x:col min="11" max="11" width="46" hidden="0" customWidth="1"/>
    <x:col min="12" max="12" width="58" hidden="0" customWidth="1"/>
  </x:cols>
  <x:sheetData>
    <x:row r="1" ht="30" customHeight="1">
      <x:c r="A1" s="24" t="str">
        <x:v>Gmail-controle per banktransactie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 ht="34" customHeight="1">
      <x:c r="A2" s="27" t="str">
        <x:v>Volledige controle in facturenvroegoptimmerwerken@gmail.com. Bankexports zijn niet als factuur meegeteld. Gecontroleerd op 29-08-2026.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4">
      <x:c r="A4" s="29" t="str">
        <x:v>Gecontroleerde regels</x:v>
      </x:c>
      <x:c r="B4" s="29"/>
      <x:c r="C4" s="29" t="str">
        <x:v>Factuur gevonden</x:v>
      </x:c>
      <x:c r="D4" s="29"/>
      <x:c r="E4" s="29" t="str">
        <x:v>Geen exacte match</x:v>
      </x:c>
      <x:c r="F4" s="29"/>
      <x:c r="G4" s="29" t="str">
        <x:v>Bedrag gevonden</x:v>
      </x:c>
      <x:c r="H4" s="29"/>
    </x:row>
    <x:row r="5">
      <x:c r="A5" s="31" t="n">
        <x:f>COUNTA(B8:B62)</x:f>
        <x:v>55</x:v>
      </x:c>
      <x:c r="B5" s="31"/>
      <x:c r="C5" s="31" t="n">
        <x:f>COUNTIF(A8:A62,"Gevonden")+COUNTIF(A8:A62,"Gevonden via splitsing")</x:f>
        <x:v>9</x:v>
      </x:c>
      <x:c r="D5" s="31"/>
      <x:c r="E5" s="31" t="n">
        <x:f>COUNTA(B8:B62)-C5</x:f>
        <x:v>46</x:v>
      </x:c>
      <x:c r="F5" s="31"/>
      <x:c r="G5" s="32" t="n">
        <x:f>SUMIF(A8:A62,"Gevonden",E8:E62)+SUMIF(A8:A62,"Gevonden via splitsing",E8:E62)</x:f>
        <x:v>2976.3600000000006</x:v>
      </x:c>
      <x:c r="H5" s="31"/>
    </x:row>
    <x:row r="7" ht="26" customHeight="1">
      <x:c r="A7" s="38" t="str">
        <x:v>Status</x:v>
      </x:c>
      <x:c r="B7" s="39" t="str">
        <x:v>Leveranciersgroep</x:v>
      </x:c>
      <x:c r="C7" s="39" t="str">
        <x:v>Originele banknaam</x:v>
      </x:c>
      <x:c r="D7" s="39" t="str">
        <x:v>Datum</x:v>
      </x:c>
      <x:c r="E7" s="39" t="str">
        <x:v>Bedrag</x:v>
      </x:c>
      <x:c r="F7" s="39" t="str">
        <x:v>Categorie</x:v>
      </x:c>
      <x:c r="G7" s="39" t="str">
        <x:v>Project</x:v>
      </x:c>
      <x:c r="H7" s="39" t="str">
        <x:v>Bankomschrijving</x:v>
      </x:c>
      <x:c r="I7" s="39" t="str">
        <x:v>E-mail</x:v>
      </x:c>
      <x:c r="J7" s="39" t="str">
        <x:v>Bijlage(n)</x:v>
      </x:c>
      <x:c r="K7" s="39" t="str">
        <x:v>Gmail-link</x:v>
      </x:c>
      <x:c r="L7" s="40" t="str">
        <x:v>Controle-opmerking</x:v>
      </x:c>
    </x:row>
    <x:row r="8" ht="44" customHeight="1">
      <x:c r="A8" s="41" t="str">
        <x:v>Niet gevonden</x:v>
      </x:c>
      <x:c r="B8" s="42" t="str">
        <x:v>Booking.com</x:v>
      </x:c>
      <x:c r="C8" s="42" t="str">
        <x:v>Booking</x:v>
      </x:c>
      <x:c r="D8" s="43" t="n">
        <x:v>46258.416666666664</x:v>
      </x:c>
      <x:c r="E8" s="44" t="n">
        <x:v>19.68</x:v>
      </x:c>
      <x:c r="F8" s="42" t="str">
        <x:v>Hotel</x:v>
      </x:c>
      <x:c r="G8" s="42" t="str">
        <x:v>Niet gekoppeld</x:v>
      </x:c>
      <x:c r="H8" s="45" t="str">
        <x:v>HJKQ84TD7J88F8X32I2M1 7180424416861004 Hotel at Booking.com</x:v>
      </x:c>
      <x:c r="I8" s="45" t="str"/>
      <x:c r="J8" s="45" t="str"/>
      <x:c r="K8" s="45" t="str"/>
      <x:c r="L8" s="46" t="str">
        <x:v>Alleen de bankexport gaf een zoekhit; die telt niet als factuur of bon.</x:v>
      </x:c>
    </x:row>
    <x:row r="9" ht="44" customHeight="1">
      <x:c r="A9" s="41" t="str">
        <x:v>Niet gevonden</x:v>
      </x:c>
      <x:c r="B9" s="42" t="str">
        <x:v>Booking.com</x:v>
      </x:c>
      <x:c r="C9" s="42" t="str">
        <x:v>Booking</x:v>
      </x:c>
      <x:c r="D9" s="43" t="n">
        <x:v>46216.416666666664</x:v>
      </x:c>
      <x:c r="E9" s="44" t="n">
        <x:v>15.31</x:v>
      </x:c>
      <x:c r="F9" s="42" t="str">
        <x:v>Hotel</x:v>
      </x:c>
      <x:c r="G9" s="42" t="str">
        <x:v>Niet gekoppeld</x:v>
      </x:c>
      <x:c r="H9" s="45" t="str">
        <x:v>S7GZ9Q6KXV4ZQ4G62I2M1 7180154441980973 Hotel at Booking.com</x:v>
      </x:c>
      <x:c r="I9" s="45" t="str"/>
      <x:c r="J9" s="45" t="str"/>
      <x:c r="K9" s="45" t="str"/>
      <x:c r="L9" s="46" t="str">
        <x:v>Alleen de bankexport gaf een zoekhit; die telt niet als factuur of bon.</x:v>
      </x:c>
    </x:row>
    <x:row r="10" ht="44" customHeight="1">
      <x:c r="A10" s="41" t="str">
        <x:v>Niet gevonden</x:v>
      </x:c>
      <x:c r="B10" s="42" t="str">
        <x:v>Booking.com</x:v>
      </x:c>
      <x:c r="C10" s="42" t="str">
        <x:v>Booking</x:v>
      </x:c>
      <x:c r="D10" s="43" t="n">
        <x:v>46199.416666666664</x:v>
      </x:c>
      <x:c r="E10" s="44" t="n">
        <x:v>21.87</x:v>
      </x:c>
      <x:c r="F10" s="42" t="str">
        <x:v>Hotel</x:v>
      </x:c>
      <x:c r="G10" s="42" t="str">
        <x:v>Niet gekoppeld</x:v>
      </x:c>
      <x:c r="H10" s="45" t="str">
        <x:v>KLJ52Z26LRVQCWX32I2M1 7180144121536399 Hotel at Booking.com</x:v>
      </x:c>
      <x:c r="I10" s="45" t="str"/>
      <x:c r="J10" s="45" t="str"/>
      <x:c r="K10" s="45" t="str"/>
      <x:c r="L10" s="46" t="str">
        <x:v>Alleen de bankexport gaf een zoekhit; die telt niet als factuur of bon.</x:v>
      </x:c>
    </x:row>
    <x:row r="11" ht="44" customHeight="1">
      <x:c r="A11" s="41" t="str">
        <x:v>Niet gevonden</x:v>
      </x:c>
      <x:c r="B11" s="42" t="str">
        <x:v>Booking.com</x:v>
      </x:c>
      <x:c r="C11" s="42" t="str">
        <x:v>Booking</x:v>
      </x:c>
      <x:c r="D11" s="43" t="n">
        <x:v>46198.416666666664</x:v>
      </x:c>
      <x:c r="E11" s="44" t="n">
        <x:v>21.87</x:v>
      </x:c>
      <x:c r="F11" s="42" t="str">
        <x:v>Hotel</x:v>
      </x:c>
      <x:c r="G11" s="42" t="str">
        <x:v>Niet gekoppeld</x:v>
      </x:c>
      <x:c r="H11" s="45" t="str">
        <x:v>RGDGS29BFJ8XQQF32I2M1 7180016533720317 Hotel at Booking.com</x:v>
      </x:c>
      <x:c r="I11" s="45" t="str"/>
      <x:c r="J11" s="45" t="str"/>
      <x:c r="K11" s="45" t="str"/>
      <x:c r="L11" s="46" t="str">
        <x:v>Alleen de bankexport gaf een zoekhit; die telt niet als factuur of bon.</x:v>
      </x:c>
    </x:row>
    <x:row r="12" ht="44" customHeight="1">
      <x:c r="A12" s="41" t="str">
        <x:v>Niet gevonden</x:v>
      </x:c>
      <x:c r="B12" s="42" t="str">
        <x:v>Bouwmaat</x:v>
      </x:c>
      <x:c r="C12" s="42" t="str">
        <x:v>DERDENGELDEN BOUWMAAT</x:v>
      </x:c>
      <x:c r="D12" s="43" t="n">
        <x:v>46259.416666666664</x:v>
      </x:c>
      <x:c r="E12" s="44" t="n">
        <x:v>398.77</x:v>
      </x:c>
      <x:c r="F12" s="42" t="str">
        <x:v>Materiaal</x:v>
      </x:c>
      <x:c r="G12" s="42" t="str">
        <x:v>Niet gekoppeld</x:v>
      </x:c>
      <x:c r="H12" s="45" t="str">
        <x:v>1000VF003448139</x:v>
      </x:c>
      <x:c r="I12" s="45" t="str"/>
      <x:c r="J12" s="45" t="str"/>
      <x:c r="K12" s="45" t="str"/>
      <x:c r="L12" s="46" t="str">
        <x:v>Geen match op factuurnummer of bedrag. Alleen twee latere, niet-relevante Bouwmaat-mails gevonden.</x:v>
      </x:c>
    </x:row>
    <x:row r="13" ht="44" customHeight="1">
      <x:c r="A13" s="41" t="str">
        <x:v>Niet gevonden</x:v>
      </x:c>
      <x:c r="B13" s="42" t="str">
        <x:v>Bouwmaat</x:v>
      </x:c>
      <x:c r="C13" s="42" t="str">
        <x:v>DERDENGELDEN BOUWMAAT</x:v>
      </x:c>
      <x:c r="D13" s="43" t="n">
        <x:v>46254.416666666664</x:v>
      </x:c>
      <x:c r="E13" s="44" t="n">
        <x:v>508.7</x:v>
      </x:c>
      <x:c r="F13" s="42" t="str">
        <x:v>Materiaal</x:v>
      </x:c>
      <x:c r="G13" s="42" t="str">
        <x:v>Niet gekoppeld</x:v>
      </x:c>
      <x:c r="H13" s="45" t="str">
        <x:v>2004VF000282926</x:v>
      </x:c>
      <x:c r="I13" s="45" t="str"/>
      <x:c r="J13" s="45" t="str"/>
      <x:c r="K13" s="45" t="str"/>
      <x:c r="L13" s="46" t="str">
        <x:v>Geen match op factuurnummer of bedrag. Alleen twee latere, niet-relevante Bouwmaat-mails gevonden.</x:v>
      </x:c>
    </x:row>
    <x:row r="14" ht="44" customHeight="1">
      <x:c r="A14" s="41" t="str">
        <x:v>Niet gevonden</x:v>
      </x:c>
      <x:c r="B14" s="42" t="str">
        <x:v>Bouwmaat</x:v>
      </x:c>
      <x:c r="C14" s="42" t="str">
        <x:v>DERDENGELDEN BOUWMAAT</x:v>
      </x:c>
      <x:c r="D14" s="43" t="n">
        <x:v>46252.416666666664</x:v>
      </x:c>
      <x:c r="E14" s="44" t="n">
        <x:v>894.55</x:v>
      </x:c>
      <x:c r="F14" s="42" t="str">
        <x:v>Materiaal</x:v>
      </x:c>
      <x:c r="G14" s="42" t="str">
        <x:v>Niet gekoppeld</x:v>
      </x:c>
      <x:c r="H14" s="45" t="str">
        <x:v>4000VF002811534,4000VF002813418</x:v>
      </x:c>
      <x:c r="I14" s="45" t="str"/>
      <x:c r="J14" s="45" t="str"/>
      <x:c r="K14" s="45" t="str"/>
      <x:c r="L14" s="46" t="str">
        <x:v>Geen match op factuurnummer of bedrag. Alleen twee latere, niet-relevante Bouwmaat-mails gevonden.</x:v>
      </x:c>
    </x:row>
    <x:row r="15" ht="44" customHeight="1">
      <x:c r="A15" s="41" t="str">
        <x:v>Niet gevonden</x:v>
      </x:c>
      <x:c r="B15" s="42" t="str">
        <x:v>Bouwmaat</x:v>
      </x:c>
      <x:c r="C15" s="42" t="str">
        <x:v>DERDENGELDEN BOUWMAAT</x:v>
      </x:c>
      <x:c r="D15" s="43" t="n">
        <x:v>46248.416666666664</x:v>
      </x:c>
      <x:c r="E15" s="44" t="n">
        <x:v>38.5</x:v>
      </x:c>
      <x:c r="F15" s="42" t="str">
        <x:v>Materiaal</x:v>
      </x:c>
      <x:c r="G15" s="42" t="str">
        <x:v>Niet gekoppeld</x:v>
      </x:c>
      <x:c r="H15" s="45" t="str">
        <x:v>5000VF001993916,5000VF001994959</x:v>
      </x:c>
      <x:c r="I15" s="45" t="str"/>
      <x:c r="J15" s="45" t="str"/>
      <x:c r="K15" s="45" t="str"/>
      <x:c r="L15" s="46" t="str">
        <x:v>Geen match op factuurnummer of bedrag. Alleen twee latere, niet-relevante Bouwmaat-mails gevonden.</x:v>
      </x:c>
    </x:row>
    <x:row r="16" ht="44" customHeight="1">
      <x:c r="A16" s="41" t="str">
        <x:v>Niet gevonden</x:v>
      </x:c>
      <x:c r="B16" s="42" t="str">
        <x:v>Bouwmaat</x:v>
      </x:c>
      <x:c r="C16" s="42" t="str">
        <x:v>BCK*Bouwmaat Amstel</x:v>
      </x:c>
      <x:c r="D16" s="43" t="n">
        <x:v>46238.416666666664</x:v>
      </x:c>
      <x:c r="E16" s="44" t="n">
        <x:v>257.53</x:v>
      </x:c>
      <x:c r="F16" s="42" t="str">
        <x:v>Materiaal</x:v>
      </x:c>
      <x:c r="G16" s="42" t="str">
        <x:v>#260287 | Louis Berger</x:v>
      </x:c>
      <x:c r="H16" s="45" t="str">
        <x:v>AMSTERDAM 04-08-2026 07:55 Pas: 3789</x:v>
      </x:c>
      <x:c r="I16" s="45" t="str"/>
      <x:c r="J16" s="45" t="str"/>
      <x:c r="K16" s="45" t="str"/>
      <x:c r="L16" s="46" t="str">
        <x:v>Geen match op factuurnummer of bedrag. Alleen twee latere, niet-relevante Bouwmaat-mails gevonden.</x:v>
      </x:c>
    </x:row>
    <x:row r="17" ht="44" customHeight="1">
      <x:c r="A17" s="41" t="str">
        <x:v>Niet gevonden</x:v>
      </x:c>
      <x:c r="B17" s="42" t="str">
        <x:v>Bouwmaat</x:v>
      </x:c>
      <x:c r="C17" s="42" t="str">
        <x:v>BCK*Bouwmaat Amstel</x:v>
      </x:c>
      <x:c r="D17" s="43" t="n">
        <x:v>46237.416666666664</x:v>
      </x:c>
      <x:c r="E17" s="44" t="n">
        <x:v>77.3</x:v>
      </x:c>
      <x:c r="F17" s="42" t="str">
        <x:v>Materiaal</x:v>
      </x:c>
      <x:c r="G17" s="42" t="str">
        <x:v>Niet gekoppeld</x:v>
      </x:c>
      <x:c r="H17" s="45" t="str">
        <x:v>AMSTERDAM 01-08-2026 09:50 Pas: 3789</x:v>
      </x:c>
      <x:c r="I17" s="45" t="str"/>
      <x:c r="J17" s="45" t="str"/>
      <x:c r="K17" s="45" t="str"/>
      <x:c r="L17" s="46" t="str">
        <x:v>Geen match op factuurnummer of bedrag. Alleen twee latere, niet-relevante Bouwmaat-mails gevonden.</x:v>
      </x:c>
    </x:row>
    <x:row r="18" ht="44" customHeight="1">
      <x:c r="A18" s="41" t="str">
        <x:v>Niet gevonden</x:v>
      </x:c>
      <x:c r="B18" s="42" t="str">
        <x:v>Bouwmaat</x:v>
      </x:c>
      <x:c r="C18" s="42" t="str">
        <x:v>BCK*Bouwmaat Amstel</x:v>
      </x:c>
      <x:c r="D18" s="43" t="n">
        <x:v>46230.416666666664</x:v>
      </x:c>
      <x:c r="E18" s="44" t="n">
        <x:v>101.57</x:v>
      </x:c>
      <x:c r="F18" s="42" t="str">
        <x:v>Materiaal</x:v>
      </x:c>
      <x:c r="G18" s="42" t="str">
        <x:v>#260324 | Mike Olofsen</x:v>
      </x:c>
      <x:c r="H18" s="45" t="str">
        <x:v>AMSTERDAM 27-07-2026 12:33 Pas: 3789</x:v>
      </x:c>
      <x:c r="I18" s="45" t="str"/>
      <x:c r="J18" s="45" t="str"/>
      <x:c r="K18" s="45" t="str"/>
      <x:c r="L18" s="46" t="str">
        <x:v>Geen match op factuurnummer of bedrag. Alleen twee latere, niet-relevante Bouwmaat-mails gevonden.</x:v>
      </x:c>
    </x:row>
    <x:row r="19" ht="44" customHeight="1">
      <x:c r="A19" s="41" t="str">
        <x:v>Niet gevonden</x:v>
      </x:c>
      <x:c r="B19" s="42" t="str">
        <x:v>Bouwmaat</x:v>
      </x:c>
      <x:c r="C19" s="42" t="str">
        <x:v>Bouwmaat Amsterdam B.V.</x:v>
      </x:c>
      <x:c r="D19" s="43" t="n">
        <x:v>46230.416666666664</x:v>
      </x:c>
      <x:c r="E19" s="44" t="n">
        <x:v>286.48</x:v>
      </x:c>
      <x:c r="F19" s="42" t="str">
        <x:v>Materiaal</x:v>
      </x:c>
      <x:c r="G19" s="42" t="str">
        <x:v>#260324 | Mike Olofsen</x:v>
      </x:c>
      <x:c r="H19" s="45" t="str">
        <x:v>44717097016X113c 7370644738633297 Uw betalingsopdracht voor order</x:v>
      </x:c>
      <x:c r="I19" s="45" t="str"/>
      <x:c r="J19" s="45" t="str"/>
      <x:c r="K19" s="45" t="str"/>
      <x:c r="L19" s="46" t="str">
        <x:v>Geen match op factuurnummer of bedrag. Alleen twee latere, niet-relevante Bouwmaat-mails gevonden.</x:v>
      </x:c>
    </x:row>
    <x:row r="20" ht="44" customHeight="1">
      <x:c r="A20" s="41" t="str">
        <x:v>Niet gevonden</x:v>
      </x:c>
      <x:c r="B20" s="42" t="str">
        <x:v>Bouwmaat</x:v>
      </x:c>
      <x:c r="C20" s="42" t="str">
        <x:v>DSG Bouwmaten B.V.</x:v>
      </x:c>
      <x:c r="D20" s="43" t="n">
        <x:v>46226.416666666664</x:v>
      </x:c>
      <x:c r="E20" s="44" t="n">
        <x:v>2831.83</x:v>
      </x:c>
      <x:c r="F20" s="42" t="str">
        <x:v>Materiaal</x:v>
      </x:c>
      <x:c r="G20" s="42" t="str">
        <x:v>Niet gekoppeld</x:v>
      </x:c>
      <x:c r="H20" s="45" t="str">
        <x:v>47214592052X44b7 7370405632707214 Uw betalingsopdracht voor order</x:v>
      </x:c>
      <x:c r="I20" s="45" t="str"/>
      <x:c r="J20" s="45" t="str"/>
      <x:c r="K20" s="45" t="str"/>
      <x:c r="L20" s="46" t="str">
        <x:v>Geen match op factuurnummer of bedrag. Alleen twee latere, niet-relevante Bouwmaat-mails gevonden.</x:v>
      </x:c>
    </x:row>
    <x:row r="21" ht="44" customHeight="1">
      <x:c r="A21" s="41" t="str">
        <x:v>Niet gevonden</x:v>
      </x:c>
      <x:c r="B21" s="42" t="str">
        <x:v>Bouwmaat</x:v>
      </x:c>
      <x:c r="C21" s="42" t="str">
        <x:v>Bouwmaat Haarlem</x:v>
      </x:c>
      <x:c r="D21" s="43" t="n">
        <x:v>46205.416666666664</x:v>
      </x:c>
      <x:c r="E21" s="44" t="n">
        <x:v>20.26</x:v>
      </x:c>
      <x:c r="F21" s="42" t="str">
        <x:v>Materiaal</x:v>
      </x:c>
      <x:c r="G21" s="42" t="str">
        <x:v>#260359 | Danni Zandburg</x:v>
      </x:c>
      <x:c r="H21" s="45" t="str">
        <x:v>HAARLEM 02-07-2026 15:20 Pas: 3789</x:v>
      </x:c>
      <x:c r="I21" s="45" t="str"/>
      <x:c r="J21" s="45" t="str"/>
      <x:c r="K21" s="45" t="str"/>
      <x:c r="L21" s="46" t="str">
        <x:v>Geen match op factuurnummer of bedrag. Alleen twee latere, niet-relevante Bouwmaat-mails gevonden.</x:v>
      </x:c>
    </x:row>
    <x:row r="22" ht="44" customHeight="1">
      <x:c r="A22" s="41" t="str">
        <x:v>Niet gevonden</x:v>
      </x:c>
      <x:c r="B22" s="42" t="str">
        <x:v>Bouwmaat</x:v>
      </x:c>
      <x:c r="C22" s="42" t="str">
        <x:v>Bouwmaat Alkmaar</x:v>
      </x:c>
      <x:c r="D22" s="43" t="n">
        <x:v>46202.416666666664</x:v>
      </x:c>
      <x:c r="E22" s="44" t="n">
        <x:v>192.77</x:v>
      </x:c>
      <x:c r="F22" s="42" t="str">
        <x:v>Eigen verbruik</x:v>
      </x:c>
      <x:c r="G22" s="42" t="str">
        <x:v>Niet gekoppeld</x:v>
      </x:c>
      <x:c r="H22" s="45" t="str">
        <x:v>ALKMAAR 29-06-2026 09:52 Pas: 3789</x:v>
      </x:c>
      <x:c r="I22" s="45" t="str"/>
      <x:c r="J22" s="45" t="str"/>
      <x:c r="K22" s="45" t="str"/>
      <x:c r="L22" s="46" t="str">
        <x:v>Geen match op factuurnummer of bedrag. Alleen twee latere, niet-relevante Bouwmaat-mails gevonden.</x:v>
      </x:c>
    </x:row>
    <x:row r="23" ht="44" customHeight="1">
      <x:c r="A23" s="41" t="str">
        <x:v>Niet gevonden</x:v>
      </x:c>
      <x:c r="B23" s="42" t="str">
        <x:v>Gemeente Diemen</x:v>
      </x:c>
      <x:c r="C23" s="42" t="str">
        <x:v>BNG*Gemeente Diemen</x:v>
      </x:c>
      <x:c r="D23" s="43" t="n">
        <x:v>46260.416666666664</x:v>
      </x:c>
      <x:c r="E23" s="44" t="n">
        <x:v>0.2</x:v>
      </x:c>
      <x:c r="F23" s="42" t="str">
        <x:v>Overig</x:v>
      </x:c>
      <x:c r="G23" s="42" t="str">
        <x:v>Niet gekoppeld</x:v>
      </x:c>
      <x:c r="H23" s="45" t="str">
        <x:v>DIEMEN 26-08-2026 18:50 Pas: 3789</x:v>
      </x:c>
      <x:c r="I23" s="45" t="str"/>
      <x:c r="J23" s="45" t="str"/>
      <x:c r="K23" s="45" t="str"/>
      <x:c r="L23" s="46" t="str">
        <x:v>Geen relevante Gmail-mail of pdf gevonden op leverancier, bedrag, datum of uniek nummer.</x:v>
      </x:c>
    </x:row>
    <x:row r="24" ht="44" customHeight="1">
      <x:c r="A24" s="41" t="str">
        <x:v>Niet gevonden</x:v>
      </x:c>
      <x:c r="B24" s="42" t="str">
        <x:v>Gemeente Diemen</x:v>
      </x:c>
      <x:c r="C24" s="42" t="str">
        <x:v>BNG*Gemeente Diemen</x:v>
      </x:c>
      <x:c r="D24" s="43" t="n">
        <x:v>46258.416666666664</x:v>
      </x:c>
      <x:c r="E24" s="44" t="n">
        <x:v>2.62</x:v>
      </x:c>
      <x:c r="F24" s="42" t="str">
        <x:v>Overig</x:v>
      </x:c>
      <x:c r="G24" s="42" t="str">
        <x:v>Niet gekoppeld</x:v>
      </x:c>
      <x:c r="H24" s="45" t="str">
        <x:v>DIEMEN 24-08-2026 16:50 Pas: 3789</x:v>
      </x:c>
      <x:c r="I24" s="45" t="str"/>
      <x:c r="J24" s="45" t="str"/>
      <x:c r="K24" s="45" t="str"/>
      <x:c r="L24" s="46" t="str">
        <x:v>Geen relevante Gmail-mail of pdf gevonden op leverancier, bedrag, datum of uniek nummer.</x:v>
      </x:c>
    </x:row>
    <x:row r="25" ht="44" customHeight="1">
      <x:c r="A25" s="41" t="str">
        <x:v>Niet gevonden</x:v>
      </x:c>
      <x:c r="B25" s="42" t="str">
        <x:v>Gemeente Diemen</x:v>
      </x:c>
      <x:c r="C25" s="42" t="str">
        <x:v>BNG*Gemeente Diemen</x:v>
      </x:c>
      <x:c r="D25" s="43" t="n">
        <x:v>46198.416666666664</x:v>
      </x:c>
      <x:c r="E25" s="44" t="n">
        <x:v>1.5</x:v>
      </x:c>
      <x:c r="F25" s="42" t="str">
        <x:v>Overig</x:v>
      </x:c>
      <x:c r="G25" s="42" t="str">
        <x:v>Niet gekoppeld</x:v>
      </x:c>
      <x:c r="H25" s="45" t="str">
        <x:v>DIEMEN 25-06-2026 14:29 Pas: 3789</x:v>
      </x:c>
      <x:c r="I25" s="45" t="str"/>
      <x:c r="J25" s="45" t="str"/>
      <x:c r="K25" s="45" t="str"/>
      <x:c r="L25" s="46" t="str">
        <x:v>Geen relevante Gmail-mail of pdf gevonden op leverancier, bedrag, datum of uniek nummer.</x:v>
      </x:c>
    </x:row>
    <x:row r="26" ht="44" customHeight="1">
      <x:c r="A26" s="41" t="str">
        <x:v>Niet gevonden</x:v>
      </x:c>
      <x:c r="B26" s="42" t="str">
        <x:v>Gemeente Diemen</x:v>
      </x:c>
      <x:c r="C26" s="42" t="str">
        <x:v>BNG*Gemeente Diemen</x:v>
      </x:c>
      <x:c r="D26" s="43" t="n">
        <x:v>46198.416666666664</x:v>
      </x:c>
      <x:c r="E26" s="44" t="n">
        <x:v>0.7</x:v>
      </x:c>
      <x:c r="F26" s="42" t="str">
        <x:v>Overig</x:v>
      </x:c>
      <x:c r="G26" s="42" t="str">
        <x:v>Niet gekoppeld</x:v>
      </x:c>
      <x:c r="H26" s="45" t="str">
        <x:v>DIEMEN 25-06-2026 13:57 Pas: 3789</x:v>
      </x:c>
      <x:c r="I26" s="45" t="str"/>
      <x:c r="J26" s="45" t="str"/>
      <x:c r="K26" s="45" t="str"/>
      <x:c r="L26" s="46" t="str">
        <x:v>Geen relevante Gmail-mail of pdf gevonden op leverancier, bedrag, datum of uniek nummer.</x:v>
      </x:c>
    </x:row>
    <x:row r="27" ht="44" customHeight="1">
      <x:c r="A27" s="41" t="str">
        <x:v>Niet gevonden</x:v>
      </x:c>
      <x:c r="B27" s="42" t="str">
        <x:v>GoCardless</x:v>
      </x:c>
      <x:c r="C27" s="42" t="str">
        <x:v>GoCardless Ltd</x:v>
      </x:c>
      <x:c r="D27" s="43" t="n">
        <x:v>46197.416666666664</x:v>
      </x:c>
      <x:c r="E27" s="44" t="n">
        <x:v>0.01</x:v>
      </x:c>
      <x:c r="F27" s="42" t="str">
        <x:v>Overig</x:v>
      </x:c>
      <x:c r="G27" s="42" t="str">
        <x:v>Niet gekoppeld</x:v>
      </x:c>
      <x:c r="H27" s="45" t="str">
        <x:v>GC2BWBD</x:v>
      </x:c>
      <x:c r="I27" s="45" t="str"/>
      <x:c r="J27" s="45" t="str"/>
      <x:c r="K27" s="45" t="str"/>
      <x:c r="L27" s="46" t="str">
        <x:v>Geen relevante Gmail-mail of pdf gevonden op leverancier, bedrag, datum of uniek nummer.</x:v>
      </x:c>
    </x:row>
    <x:row r="28" ht="44" customHeight="1">
      <x:c r="A28" s="41" t="str">
        <x:v>Niet gevonden</x:v>
      </x:c>
      <x:c r="B28" s="42" t="str">
        <x:v>GSSP RIJSWIJK</x:v>
      </x:c>
      <x:c r="C28" s="42" t="str">
        <x:v>BCK*GSSP RIJSWIJK</x:v>
      </x:c>
      <x:c r="D28" s="43" t="n">
        <x:v>46233.416666666664</x:v>
      </x:c>
      <x:c r="E28" s="44" t="n">
        <x:v>171.36</x:v>
      </x:c>
      <x:c r="F28" s="42" t="str">
        <x:v>Overig</x:v>
      </x:c>
      <x:c r="G28" s="42" t="str">
        <x:v>Niet gekoppeld</x:v>
      </x:c>
      <x:c r="H28" s="45" t="str">
        <x:v>RIJSWIJK ZH 30-07-2026 09:12 Pas: 3789</x:v>
      </x:c>
      <x:c r="I28" s="45" t="str"/>
      <x:c r="J28" s="45" t="str"/>
      <x:c r="K28" s="45" t="str"/>
      <x:c r="L28" s="46" t="str">
        <x:v>Geen relevante Gmail-mail of pdf gevonden op leverancier, bedrag, datum of uniek nummer.</x:v>
      </x:c>
    </x:row>
    <x:row r="29" ht="44" customHeight="1">
      <x:c r="A29" s="41" t="str">
        <x:v>Gevonden via splitsing</x:v>
      </x:c>
      <x:c r="B29" s="42" t="str">
        <x:v>HomingXL</x:v>
      </x:c>
      <x:c r="C29" s="42" t="str">
        <x:v>HomingXL via MultiSafepay</x:v>
      </x:c>
      <x:c r="D29" s="43" t="n">
        <x:v>46209.416666666664</x:v>
      </x:c>
      <x:c r="E29" s="44" t="n">
        <x:v>257</x:v>
      </x:c>
      <x:c r="F29" s="42" t="str">
        <x:v>Overig</x:v>
      </x:c>
      <x:c r="G29" s="42" t="str">
        <x:v>Niet gekoppeld</x:v>
      </x:c>
      <x:c r="H29" s="45" t="str">
        <x:v>1602278491 8151396230417239 Betaalverzoek voor bestelling 30... HomingXL</x:v>
      </x:c>
      <x:c r="I29" s="45" t="str">
        <x:v>(No Subject), 27-08-2026</x:v>
      </x:c>
      <x:c r="J29" s="45" t="str">
        <x:v>invoice_I3000007421.pdf + invoice_I3000007400.pdf</x:v>
      </x:c>
      <x:c r="K29" s="45" t="str">
        <x:v>https://mail.google.com/mail/#all/1a0439f3b8db605f</x:v>
      </x:c>
      <x:c r="L29" s="46" t="str">
        <x:v>I3000007421 (€1.464,50) minus I3000007400 (€1.207,50) = €257,00.</x:v>
      </x:c>
    </x:row>
    <x:row r="30" ht="44" customHeight="1">
      <x:c r="A30" s="41" t="str">
        <x:v>Gevonden</x:v>
      </x:c>
      <x:c r="B30" s="42" t="str">
        <x:v>HomingXL</x:v>
      </x:c>
      <x:c r="C30" s="42" t="str">
        <x:v>HomingXL via MultiSafepay</x:v>
      </x:c>
      <x:c r="D30" s="43" t="n">
        <x:v>46209.416666666664</x:v>
      </x:c>
      <x:c r="E30" s="44" t="n">
        <x:v>1207.5</x:v>
      </x:c>
      <x:c r="F30" s="42" t="str">
        <x:v>Overig</x:v>
      </x:c>
      <x:c r="G30" s="42" t="str">
        <x:v>Niet gekoppeld</x:v>
      </x:c>
      <x:c r="H30" s="45" t="str">
        <x:v>1602094068 8151854136357482 Payment for order .3000009153 HomingXL</x:v>
      </x:c>
      <x:c r="I30" s="45" t="str">
        <x:v>(No Subject), 27-08-2026</x:v>
      </x:c>
      <x:c r="J30" s="45" t="str">
        <x:v>invoice_I3000007400.pdf</x:v>
      </x:c>
      <x:c r="K30" s="45" t="str">
        <x:v>https://mail.google.com/mail/#all/1a0439f3b8db605f</x:v>
      </x:c>
      <x:c r="L30" s="46" t="str">
        <x:v>Exacte factuur: I3000007400, totaal €1.207,50.</x:v>
      </x:c>
    </x:row>
    <x:row r="31" ht="44" customHeight="1">
      <x:c r="A31" s="41" t="str">
        <x:v>Niet gevonden</x:v>
      </x:c>
      <x:c r="B31" s="42" t="str">
        <x:v>Karwei</x:v>
      </x:c>
      <x:c r="C31" s="42" t="str">
        <x:v>KARWEI BARENDRECHT</x:v>
      </x:c>
      <x:c r="D31" s="43" t="n">
        <x:v>46216.416666666664</x:v>
      </x:c>
      <x:c r="E31" s="44" t="n">
        <x:v>37.06</x:v>
      </x:c>
      <x:c r="F31" s="42" t="str">
        <x:v>Materiaal</x:v>
      </x:c>
      <x:c r="G31" s="42" t="str">
        <x:v>#260321 | Carolina</x:v>
      </x:c>
      <x:c r="H31" s="45" t="str">
        <x:v>BARENDRECHT 11-07-2026 17:22 Pas: 3789</x:v>
      </x:c>
      <x:c r="I31" s="45" t="str"/>
      <x:c r="J31" s="45" t="str"/>
      <x:c r="K31" s="45" t="str"/>
      <x:c r="L31" s="46" t="str">
        <x:v>Alleen de bankexport gaf een zoekhit; die telt niet als factuur of bon.</x:v>
      </x:c>
    </x:row>
    <x:row r="32" ht="44" customHeight="1">
      <x:c r="A32" s="41" t="str">
        <x:v>Niet gevonden</x:v>
      </x:c>
      <x:c r="B32" s="42" t="str">
        <x:v>Kentekenplaten</x:v>
      </x:c>
      <x:c r="C32" s="42" t="str">
        <x:v>Kentekenplaten, Fun + Luxeplaten...</x:v>
      </x:c>
      <x:c r="D32" s="43" t="n">
        <x:v>46211.416666666664</x:v>
      </x:c>
      <x:c r="E32" s="44" t="n">
        <x:v>16.94</x:v>
      </x:c>
      <x:c r="F32" s="42" t="str">
        <x:v>Overig</x:v>
      </x:c>
      <x:c r="G32" s="42" t="str">
        <x:v>Niet gekoppeld</x:v>
      </x:c>
      <x:c r="H32" s="45" t="str">
        <x:v>1604493138 8151206842410051 Betaling voor bestelling: NW-65173 Kentekenplaten, Fun + Luxeplaten...</x:v>
      </x:c>
      <x:c r="I32" s="45" t="str"/>
      <x:c r="J32" s="45" t="str"/>
      <x:c r="K32" s="45" t="str"/>
      <x:c r="L32" s="46" t="str">
        <x:v>Geen relevante Gmail-mail of pdf gevonden op leverancier, bedrag, datum of uniek nummer.</x:v>
      </x:c>
    </x:row>
    <x:row r="33" ht="44" customHeight="1">
      <x:c r="A33" s="41" t="str">
        <x:v>Niet gevonden</x:v>
      </x:c>
      <x:c r="B33" s="42" t="str">
        <x:v>Knab</x:v>
      </x:c>
      <x:c r="C33" s="42" t="str">
        <x:v>KNAB</x:v>
      </x:c>
      <x:c r="D33" s="43" t="n">
        <x:v>46237.416666666664</x:v>
      </x:c>
      <x:c r="E33" s="44" t="n">
        <x:v>1.8</x:v>
      </x:c>
      <x:c r="F33" s="42" t="str">
        <x:v>Overig</x:v>
      </x:c>
      <x:c r="G33" s="42" t="str">
        <x:v>Niet gekoppeld</x:v>
      </x:c>
      <x:c r="H33" s="45" t="str">
        <x:v>Kosten betaalverzoek juli 2026</x:v>
      </x:c>
      <x:c r="I33" s="45" t="str"/>
      <x:c r="J33" s="45" t="str"/>
      <x:c r="K33" s="45" t="str"/>
      <x:c r="L33" s="46" t="str">
        <x:v>Geen relevante Gmail-mail of pdf gevonden op leverancier, bedrag, datum of uniek nummer.</x:v>
      </x:c>
    </x:row>
    <x:row r="34" ht="44" customHeight="1">
      <x:c r="A34" s="41" t="str">
        <x:v>Niet gevonden</x:v>
      </x:c>
      <x:c r="B34" s="42" t="str">
        <x:v>Knab</x:v>
      </x:c>
      <x:c r="C34" s="42" t="str">
        <x:v>KNAB</x:v>
      </x:c>
      <x:c r="D34" s="43" t="n">
        <x:v>46204.416666666664</x:v>
      </x:c>
      <x:c r="E34" s="44" t="n">
        <x:v>3.3</x:v>
      </x:c>
      <x:c r="F34" s="42" t="str">
        <x:v>Overig</x:v>
      </x:c>
      <x:c r="G34" s="42" t="str">
        <x:v>Niet gekoppeld</x:v>
      </x:c>
      <x:c r="H34" s="45" t="str">
        <x:v>Kosten betaalverzoek juni 2026</x:v>
      </x:c>
      <x:c r="I34" s="45" t="str"/>
      <x:c r="J34" s="45" t="str"/>
      <x:c r="K34" s="45" t="str"/>
      <x:c r="L34" s="46" t="str">
        <x:v>Geen relevante Gmail-mail of pdf gevonden op leverancier, bedrag, datum of uniek nummer.</x:v>
      </x:c>
    </x:row>
    <x:row r="35" ht="44" customHeight="1">
      <x:c r="A35" s="41" t="str">
        <x:v>Geen exacte match</x:v>
      </x:c>
      <x:c r="B35" s="42" t="str">
        <x:v>KPN</x:v>
      </x:c>
      <x:c r="C35" s="42" t="str">
        <x:v>KPN Den Haag</x:v>
      </x:c>
      <x:c r="D35" s="43" t="n">
        <x:v>46240.416666666664</x:v>
      </x:c>
      <x:c r="E35" s="44" t="n">
        <x:v>53.98</x:v>
      </x:c>
      <x:c r="F35" s="42" t="str">
        <x:v>Telefoon</x:v>
      </x:c>
      <x:c r="G35" s="42" t="str">
        <x:v>Niet gekoppeld</x:v>
      </x:c>
      <x:c r="H35" s="45" t="str">
        <x:v>'S-GRAVENHAG 06-08-2026 10:45 Pas: 3789</x:v>
      </x:c>
      <x:c r="I35" s="45" t="str">
        <x:v>KPN-documenten in Gmail, 24/28-08-2026</x:v>
      </x:c>
      <x:c r="J35" s="45" t="str">
        <x:v>KPN-pdf's van €342,89, €40,00 en €41,00</x:v>
      </x:c>
      <x:c r="K35" s="45" t="str">
        <x:v>https://mail.google.com/mail/#all/1a0486e05bfcc195</x:v>
      </x:c>
      <x:c r="L35" s="46" t="str">
        <x:v>Geen KPN-pdf gevonden die de bankregel van €53,98 onderbouwt.</x:v>
      </x:c>
    </x:row>
    <x:row r="36" ht="44" customHeight="1">
      <x:c r="A36" s="41" t="str">
        <x:v>Geen exacte match</x:v>
      </x:c>
      <x:c r="B36" s="42" t="str">
        <x:v>KPN</x:v>
      </x:c>
      <x:c r="C36" s="42" t="str">
        <x:v>KPN</x:v>
      </x:c>
      <x:c r="D36" s="43" t="n">
        <x:v>46202.416666666664</x:v>
      </x:c>
      <x:c r="E36" s="44" t="n">
        <x:v>39</x:v>
      </x:c>
      <x:c r="F36" s="42" t="str">
        <x:v>Telefoon</x:v>
      </x:c>
      <x:c r="G36" s="42" t="str">
        <x:v>Niet gekoppeld</x:v>
      </x:c>
      <x:c r="H36" s="45" t="str">
        <x:v>0000001380184748 7051194742318767 Facturen KPN</x:v>
      </x:c>
      <x:c r="I36" s="45" t="str">
        <x:v>KPN-documenten in Gmail, 24/28-08-2026</x:v>
      </x:c>
      <x:c r="J36" s="45" t="str">
        <x:v>KPN-pdf's van €342,89, €40,00 en €41,00</x:v>
      </x:c>
      <x:c r="K36" s="45" t="str">
        <x:v>https://mail.google.com/mail/#all/1a0486e05bfcc195</x:v>
      </x:c>
      <x:c r="L36" s="46" t="str">
        <x:v>Geen KPN-pdf gevonden die de bankregel van €39,00 onderbouwt.</x:v>
      </x:c>
    </x:row>
    <x:row r="37" ht="44" customHeight="1">
      <x:c r="A37" s="41" t="str">
        <x:v>Niet gevonden</x:v>
      </x:c>
      <x:c r="B37" s="42" t="str">
        <x:v>Moments&amp;More Veentje</x:v>
      </x:c>
      <x:c r="C37" s="42" t="str">
        <x:v>Moments&amp;More Veentje</x:v>
      </x:c>
      <x:c r="D37" s="43" t="n">
        <x:v>46245.416666666664</x:v>
      </x:c>
      <x:c r="E37" s="44" t="n">
        <x:v>6.95</x:v>
      </x:c>
      <x:c r="F37" s="42" t="str">
        <x:v>Overig</x:v>
      </x:c>
      <x:c r="G37" s="42" t="str">
        <x:v>Niet gekoppeld</x:v>
      </x:c>
      <x:c r="H37" s="45" t="str">
        <x:v>EEMNES 11-08-2026 07:31 Pas: 3789</x:v>
      </x:c>
      <x:c r="I37" s="45" t="str"/>
      <x:c r="J37" s="45" t="str"/>
      <x:c r="K37" s="45" t="str"/>
      <x:c r="L37" s="46" t="str">
        <x:v>Geen relevante Gmail-mail of pdf gevonden op leverancier, bedrag, datum of uniek nummer.</x:v>
      </x:c>
    </x:row>
    <x:row r="38" ht="44" customHeight="1">
      <x:c r="A38" s="41" t="str">
        <x:v>Niet gevonden</x:v>
      </x:c>
      <x:c r="B38" s="42" t="str">
        <x:v>Parkeren</x:v>
      </x:c>
      <x:c r="C38" s="42" t="str">
        <x:v>Parkeren A'dam 15504</x:v>
      </x:c>
      <x:c r="D38" s="43" t="n">
        <x:v>46227.416666666664</x:v>
      </x:c>
      <x:c r="E38" s="44" t="n">
        <x:v>2.69</x:v>
      </x:c>
      <x:c r="F38" s="42" t="str">
        <x:v>Autokosten</x:v>
      </x:c>
      <x:c r="G38" s="42" t="str">
        <x:v>Niet gekoppeld</x:v>
      </x:c>
      <x:c r="H38" s="45" t="str">
        <x:v>AMSTERDAM 24-07-2026 12:56 Pas: 3789</x:v>
      </x:c>
      <x:c r="I38" s="45" t="str"/>
      <x:c r="J38" s="45" t="str"/>
      <x:c r="K38" s="45" t="str"/>
      <x:c r="L38" s="46" t="str">
        <x:v>Geen relevante Gmail-mail of pdf gevonden op leverancier, bedrag, datum of uniek nummer.</x:v>
      </x:c>
    </x:row>
    <x:row r="39" ht="44" customHeight="1">
      <x:c r="A39" s="41" t="str">
        <x:v>Niet gevonden</x:v>
      </x:c>
      <x:c r="B39" s="42" t="str">
        <x:v>Pivada</x:v>
      </x:c>
      <x:c r="C39" s="42" t="str">
        <x:v>PIVADA verhuur</x:v>
      </x:c>
      <x:c r="D39" s="43" t="n">
        <x:v>46217.416666666664</x:v>
      </x:c>
      <x:c r="E39" s="44" t="n">
        <x:v>211.5</x:v>
      </x:c>
      <x:c r="F39" s="42" t="str">
        <x:v>Overig</x:v>
      </x:c>
      <x:c r="G39" s="42" t="str">
        <x:v>Niet gekoppeld</x:v>
      </x:c>
      <x:c r="H39" s="45" t="str">
        <x:v>PIVADAVe21581 8030835936184421 betaling PIVADA Verhuur</x:v>
      </x:c>
      <x:c r="I39" s="45" t="str"/>
      <x:c r="J39" s="45" t="str"/>
      <x:c r="K39" s="45" t="str"/>
      <x:c r="L39" s="46" t="str">
        <x:v>Geen relevante Gmail-mail of pdf gevonden op leverancier, bedrag, datum of uniek nummer.</x:v>
      </x:c>
    </x:row>
    <x:row r="40" ht="44" customHeight="1">
      <x:c r="A40" s="41" t="str">
        <x:v>Niet gevonden</x:v>
      </x:c>
      <x:c r="B40" s="42" t="str">
        <x:v>Praxis</x:v>
      </x:c>
      <x:c r="C40" s="42" t="str">
        <x:v>BCK*Praxis Huizen 052</x:v>
      </x:c>
      <x:c r="D40" s="43" t="n">
        <x:v>46258.416666666664</x:v>
      </x:c>
      <x:c r="E40" s="44" t="n">
        <x:v>21.86</x:v>
      </x:c>
      <x:c r="F40" s="42" t="str">
        <x:v>Materiaal</x:v>
      </x:c>
      <x:c r="G40" s="42" t="str">
        <x:v>Niet gekoppeld</x:v>
      </x:c>
      <x:c r="H40" s="45" t="str">
        <x:v>HUIZEN 23-08-2026 15:55 Pas: 3789</x:v>
      </x:c>
      <x:c r="I40" s="45" t="str"/>
      <x:c r="J40" s="45" t="str"/>
      <x:c r="K40" s="45" t="str"/>
      <x:c r="L40" s="46" t="str">
        <x:v>Alleen de bankexport gaf een zoekhit; die telt niet als factuur of bon.</x:v>
      </x:c>
    </x:row>
    <x:row r="41" ht="44" customHeight="1">
      <x:c r="A41" s="41" t="str">
        <x:v>Niet gevonden</x:v>
      </x:c>
      <x:c r="B41" s="42" t="str">
        <x:v>Praxis</x:v>
      </x:c>
      <x:c r="C41" s="42" t="str">
        <x:v>Praxis Dordrecht</x:v>
      </x:c>
      <x:c r="D41" s="43" t="n">
        <x:v>46247.416666666664</x:v>
      </x:c>
      <x:c r="E41" s="44" t="n">
        <x:v>14.4</x:v>
      </x:c>
      <x:c r="F41" s="42" t="str">
        <x:v>Materiaal</x:v>
      </x:c>
      <x:c r="G41" s="42" t="str">
        <x:v>Niet gekoppeld</x:v>
      </x:c>
      <x:c r="H41" s="45" t="str">
        <x:v>DORDRECHT 13-08-2026 17:24 Pas: 3789</x:v>
      </x:c>
      <x:c r="I41" s="45" t="str"/>
      <x:c r="J41" s="45" t="str"/>
      <x:c r="K41" s="45" t="str"/>
      <x:c r="L41" s="46" t="str">
        <x:v>Alleen de bankexport gaf een zoekhit; die telt niet als factuur of bon.</x:v>
      </x:c>
    </x:row>
    <x:row r="42" ht="44" customHeight="1">
      <x:c r="A42" s="41" t="str">
        <x:v>Niet gevonden</x:v>
      </x:c>
      <x:c r="B42" s="42" t="str">
        <x:v>Praxis</x:v>
      </x:c>
      <x:c r="C42" s="42" t="str">
        <x:v>BCK*Praxis 2271 Vianen</x:v>
      </x:c>
      <x:c r="D42" s="43" t="n">
        <x:v>46209.416666666664</x:v>
      </x:c>
      <x:c r="E42" s="44" t="n">
        <x:v>41.99</x:v>
      </x:c>
      <x:c r="F42" s="42" t="str">
        <x:v>Materiaal</x:v>
      </x:c>
      <x:c r="G42" s="42" t="str">
        <x:v>#260321 | Carolina</x:v>
      </x:c>
      <x:c r="H42" s="45" t="str">
        <x:v>VIANEN UT 06-07-2026 15:11 Pas: 3789</x:v>
      </x:c>
      <x:c r="I42" s="45" t="str"/>
      <x:c r="J42" s="45" t="str"/>
      <x:c r="K42" s="45" t="str"/>
      <x:c r="L42" s="46" t="str">
        <x:v>Alleen de bankexport gaf een zoekhit; die telt niet als factuur of bon.</x:v>
      </x:c>
    </x:row>
    <x:row r="43" ht="44" customHeight="1">
      <x:c r="A43" s="41" t="str">
        <x:v>Niet gevonden</x:v>
      </x:c>
      <x:c r="B43" s="42" t="str">
        <x:v>Selecta</x:v>
      </x:c>
      <x:c r="C43" s="42" t="str">
        <x:v>Selecta Netherlands B</x:v>
      </x:c>
      <x:c r="D43" s="43" t="n">
        <x:v>46223.416666666664</x:v>
      </x:c>
      <x:c r="E43" s="44" t="n">
        <x:v>3.65</x:v>
      </x:c>
      <x:c r="F43" s="42" t="str">
        <x:v>Overig</x:v>
      </x:c>
      <x:c r="G43" s="42" t="str">
        <x:v>Niet gekoppeld</x:v>
      </x:c>
      <x:c r="H43" s="45" t="str">
        <x:v>Dordrecht 20-07-2026 10:33 Pas: 3789</x:v>
      </x:c>
      <x:c r="I43" s="45" t="str"/>
      <x:c r="J43" s="45" t="str"/>
      <x:c r="K43" s="45" t="str"/>
      <x:c r="L43" s="46" t="str">
        <x:v>Geen relevante Gmail-mail of pdf gevonden op leverancier, bedrag, datum of uniek nummer.</x:v>
      </x:c>
    </x:row>
    <x:row r="44" ht="44" customHeight="1">
      <x:c r="A44" s="41" t="str">
        <x:v>Niet gevonden</x:v>
      </x:c>
      <x:c r="B44" s="42" t="str">
        <x:v>Taffne Bv</x:v>
      </x:c>
      <x:c r="C44" s="42" t="str">
        <x:v>Taffne Bv</x:v>
      </x:c>
      <x:c r="D44" s="43" t="n">
        <x:v>46209.416666666664</x:v>
      </x:c>
      <x:c r="E44" s="44" t="n">
        <x:v>15</x:v>
      </x:c>
      <x:c r="F44" s="42" t="str">
        <x:v>Eigen verbruik</x:v>
      </x:c>
      <x:c r="G44" s="42" t="str">
        <x:v>Niet gekoppeld</x:v>
      </x:c>
      <x:c r="H44" s="45" t="str">
        <x:v>BEVERWIJK 04-07-2026 18:43 Pas: 3789</x:v>
      </x:c>
      <x:c r="I44" s="45" t="str"/>
      <x:c r="J44" s="45" t="str"/>
      <x:c r="K44" s="45" t="str"/>
      <x:c r="L44" s="46" t="str">
        <x:v>Geen relevante Gmail-mail of pdf gevonden op leverancier, bedrag, datum of uniek nummer.</x:v>
      </x:c>
    </x:row>
    <x:row r="45" ht="44" customHeight="1">
      <x:c r="A45" s="41" t="str">
        <x:v>Niet gevonden</x:v>
      </x:c>
      <x:c r="B45" s="42" t="str">
        <x:v>TMC*P-DORDRECHT-11020</x:v>
      </x:c>
      <x:c r="C45" s="42" t="str">
        <x:v>TMC*P-DORDRECHT-11020</x:v>
      </x:c>
      <x:c r="D45" s="43" t="n">
        <x:v>46248.416666666664</x:v>
      </x:c>
      <x:c r="E45" s="44" t="n">
        <x:v>1.1</x:v>
      </x:c>
      <x:c r="F45" s="42" t="str">
        <x:v>Overig</x:v>
      </x:c>
      <x:c r="G45" s="42" t="str">
        <x:v>Niet gekoppeld</x:v>
      </x:c>
      <x:c r="H45" s="45" t="str">
        <x:v>DORDRECHT 14-08-2026 16:43 Pas: 3789</x:v>
      </x:c>
      <x:c r="I45" s="45" t="str"/>
      <x:c r="J45" s="45" t="str"/>
      <x:c r="K45" s="45" t="str"/>
      <x:c r="L45" s="46" t="str">
        <x:v>Geen relevante Gmail-mail of pdf gevonden op leverancier, bedrag, datum of uniek nummer.</x:v>
      </x:c>
    </x:row>
    <x:row r="46" ht="44" customHeight="1">
      <x:c r="A46" s="41" t="str">
        <x:v>Gevonden</x:v>
      </x:c>
      <x:c r="B46" s="42" t="str">
        <x:v>Toolstation</x:v>
      </x:c>
      <x:c r="C46" s="42" t="str">
        <x:v>BCK*Toolstation DJ</x:v>
      </x:c>
      <x:c r="D46" s="43" t="n">
        <x:v>46258.416666666664</x:v>
      </x:c>
      <x:c r="E46" s="44" t="n">
        <x:v>510.43</x:v>
      </x:c>
      <x:c r="F46" s="42" t="str">
        <x:v>Gereedschap</x:v>
      </x:c>
      <x:c r="G46" s="42" t="str">
        <x:v>Niet gekoppeld</x:v>
      </x:c>
      <x:c r="H46" s="45" t="str">
        <x:v>HUIZEN 22-08-2026 10:29 Pas: 3789</x:v>
      </x:c>
      <x:c r="I46" s="45" t="str">
        <x:v>Bevestiging van bestelling ODJ213164336, 22-08-2026</x:v>
      </x:c>
      <x:c r="J46" s="45" t="str">
        <x:v>ODJ213164336.pdf</x:v>
      </x:c>
      <x:c r="K46" s="45" t="str">
        <x:v>https://mail.google.com/mail/#all/1a02897858189613</x:v>
      </x:c>
      <x:c r="L46" s="46" t="str">
        <x:v>Leverancier, besteldatum en totaal €510,43 matchen.</x:v>
      </x:c>
    </x:row>
    <x:row r="47" ht="44" customHeight="1">
      <x:c r="A47" s="41" t="str">
        <x:v>Gevonden</x:v>
      </x:c>
      <x:c r="B47" s="42" t="str">
        <x:v>Toolstation</x:v>
      </x:c>
      <x:c r="C47" s="42" t="str">
        <x:v>BCK*Toolstation AH</x:v>
      </x:c>
      <x:c r="D47" s="43" t="n">
        <x:v>46237.416666666664</x:v>
      </x:c>
      <x:c r="E47" s="44" t="n">
        <x:v>11.88</x:v>
      </x:c>
      <x:c r="F47" s="42" t="str">
        <x:v>Materiaal</x:v>
      </x:c>
      <x:c r="G47" s="42" t="str">
        <x:v>Niet gekoppeld</x:v>
      </x:c>
      <x:c r="H47" s="45" t="str">
        <x:v>HAARLEM 01-08-2026 08:23 Pas: 3789</x:v>
      </x:c>
      <x:c r="I47" s="45" t="str">
        <x:v>Bevestiging van bestelling OAH211598624, 01-08-2026</x:v>
      </x:c>
      <x:c r="J47" s="45" t="str">
        <x:v>OAH211598624.pdf</x:v>
      </x:c>
      <x:c r="K47" s="45" t="str">
        <x:v>https://mail.google.com/mail/#all/19fbbfe0f0e5c76c</x:v>
      </x:c>
      <x:c r="L47" s="46" t="str">
        <x:v>Leverancier, transactietijd en totaal €11,88 matchen.</x:v>
      </x:c>
    </x:row>
    <x:row r="48" ht="44" customHeight="1">
      <x:c r="A48" s="41" t="str">
        <x:v>Gevonden</x:v>
      </x:c>
      <x:c r="B48" s="42" t="str">
        <x:v>Toolstation</x:v>
      </x:c>
      <x:c r="C48" s="42" t="str">
        <x:v>BCK*Toolstation AG</x:v>
      </x:c>
      <x:c r="D48" s="43" t="n">
        <x:v>46237.416666666664</x:v>
      </x:c>
      <x:c r="E48" s="44" t="n">
        <x:v>356.25</x:v>
      </x:c>
      <x:c r="F48" s="42" t="str">
        <x:v>Gereedschap</x:v>
      </x:c>
      <x:c r="G48" s="42" t="str">
        <x:v>Niet gekoppeld</x:v>
      </x:c>
      <x:c r="H48" s="45" t="str">
        <x:v>AMSTERDAM 01-08-2026 10:03 Pas: 3789</x:v>
      </x:c>
      <x:c r="I48" s="45" t="str">
        <x:v>Bevestiging van bestelling OAG211610718, 01-08-2026</x:v>
      </x:c>
      <x:c r="J48" s="45" t="str">
        <x:v>OAG211610718.pdf</x:v>
      </x:c>
      <x:c r="K48" s="45" t="str">
        <x:v>https://mail.google.com/mail/#all/19fbc59c690de2d5</x:v>
      </x:c>
      <x:c r="L48" s="46" t="str">
        <x:v>Leverancier, transactietijd en totaal €356,25 matchen.</x:v>
      </x:c>
    </x:row>
    <x:row r="49" ht="44" customHeight="1">
      <x:c r="A49" s="41" t="str">
        <x:v>Gevonden</x:v>
      </x:c>
      <x:c r="B49" s="42" t="str">
        <x:v>Toolstation</x:v>
      </x:c>
      <x:c r="C49" s="42" t="str">
        <x:v>BCK*Toolstation AH</x:v>
      </x:c>
      <x:c r="D49" s="43" t="n">
        <x:v>46224.416666666664</x:v>
      </x:c>
      <x:c r="E49" s="44" t="n">
        <x:v>2.71</x:v>
      </x:c>
      <x:c r="F49" s="42" t="str">
        <x:v>Gereedschap</x:v>
      </x:c>
      <x:c r="G49" s="42" t="str">
        <x:v>Niet gekoppeld</x:v>
      </x:c>
      <x:c r="H49" s="45" t="str">
        <x:v>HAARLEM 21-07-2026 12:29 Pas: 3789</x:v>
      </x:c>
      <x:c r="I49" s="45" t="str">
        <x:v>Bevestiging van bestelling OAH210772240, 21-07-2026</x:v>
      </x:c>
      <x:c r="J49" s="45" t="str">
        <x:v>OAH210772240.pdf</x:v>
      </x:c>
      <x:c r="K49" s="45" t="str">
        <x:v>https://mail.google.com/mail/#all/19f8439bb8dd5897</x:v>
      </x:c>
      <x:c r="L49" s="46" t="str">
        <x:v>Leverancier, transactietijd en totaal €2,71 matchen.</x:v>
      </x:c>
    </x:row>
    <x:row r="50" ht="44" customHeight="1">
      <x:c r="A50" s="41" t="str">
        <x:v>Gevonden</x:v>
      </x:c>
      <x:c r="B50" s="42" t="str">
        <x:v>Toolstation</x:v>
      </x:c>
      <x:c r="C50" s="42" t="str">
        <x:v>BCK*Toolstation AH</x:v>
      </x:c>
      <x:c r="D50" s="43" t="n">
        <x:v>46223.416666666664</x:v>
      </x:c>
      <x:c r="E50" s="44" t="n">
        <x:v>241.66</x:v>
      </x:c>
      <x:c r="F50" s="42" t="str">
        <x:v>Gereedschap</x:v>
      </x:c>
      <x:c r="G50" s="42" t="str">
        <x:v>Niet gekoppeld</x:v>
      </x:c>
      <x:c r="H50" s="45" t="str">
        <x:v>HAARLEM 20-07-2026 15:54 Pas: 3789</x:v>
      </x:c>
      <x:c r="I50" s="45" t="str">
        <x:v>Bevestiging van bestelling OAH210711592, 20-07-2026</x:v>
      </x:c>
      <x:c r="J50" s="45" t="str">
        <x:v>OAH210711592.pdf</x:v>
      </x:c>
      <x:c r="K50" s="45" t="str">
        <x:v>https://mail.google.com/mail/#all/19f7fce576596318</x:v>
      </x:c>
      <x:c r="L50" s="46" t="str">
        <x:v>Leverancier, transactietijd en totaal €241,66 matchen.</x:v>
      </x:c>
    </x:row>
    <x:row r="51" ht="44" customHeight="1">
      <x:c r="A51" s="41" t="str">
        <x:v>Niet gevonden</x:v>
      </x:c>
      <x:c r="B51" s="42" t="str">
        <x:v>Toolstation</x:v>
      </x:c>
      <x:c r="C51" s="42" t="str">
        <x:v>BCK*Toolstation NL B.V</x:v>
      </x:c>
      <x:c r="D51" s="43" t="n">
        <x:v>46217.416666666664</x:v>
      </x:c>
      <x:c r="E51" s="44" t="n">
        <x:v>43.29</x:v>
      </x:c>
      <x:c r="F51" s="42" t="str">
        <x:v>Materiaal</x:v>
      </x:c>
      <x:c r="G51" s="42" t="str">
        <x:v>#260324 | Mike Olofsen</x:v>
      </x:c>
      <x:c r="H51" s="45" t="str">
        <x:v>LEIDERDORP 14-07-2026 14:19 Pas: 3789</x:v>
      </x:c>
      <x:c r="I51" s="45" t="str"/>
      <x:c r="J51" s="45" t="str"/>
      <x:c r="K51" s="45" t="str"/>
      <x:c r="L51" s="46" t="str">
        <x:v>Geen relevante Gmail-mail of pdf gevonden op leverancier, bedrag, datum of uniek nummer.</x:v>
      </x:c>
    </x:row>
    <x:row r="52" ht="44" customHeight="1">
      <x:c r="A52" s="41" t="str">
        <x:v>Gevonden</x:v>
      </x:c>
      <x:c r="B52" s="42" t="str">
        <x:v>Toolstation</x:v>
      </x:c>
      <x:c r="C52" s="42" t="str">
        <x:v>Toolstation via PayPal (Europe)</x:v>
      </x:c>
      <x:c r="D52" s="43" t="n">
        <x:v>46205.416666666664</x:v>
      </x:c>
      <x:c r="E52" s="44" t="n">
        <x:v>75.65</x:v>
      </x:c>
      <x:c r="F52" s="42" t="str">
        <x:v>Gereedschap</x:v>
      </x:c>
      <x:c r="G52" s="42" t="str">
        <x:v>Niet gekoppeld</x:v>
      </x:c>
      <x:c r="H52" s="45" t="str">
        <x:v>7KESQQG 7140666821219257 TOOLSTATION Toolstation</x:v>
      </x:c>
      <x:c r="I52" s="45" t="str">
        <x:v>Bevestiging van je bestelling, 02-07-2026</x:v>
      </x:c>
      <x:c r="J52" s="45" t="str">
        <x:v>OWW209336679.pdf</x:v>
      </x:c>
      <x:c r="K52" s="45" t="str">
        <x:v>https://mail.google.com/mail/#all/19f21d2fc864b05c</x:v>
      </x:c>
      <x:c r="L52" s="46" t="str">
        <x:v>Toolstation-pdf bevat exact €75,65.</x:v>
      </x:c>
    </x:row>
    <x:row r="53" ht="44" customHeight="1">
      <x:c r="A53" s="41" t="str">
        <x:v>Niet gevonden</x:v>
      </x:c>
      <x:c r="B53" s="42" t="str">
        <x:v>Toolstation</x:v>
      </x:c>
      <x:c r="C53" s="42" t="str">
        <x:v>BCK*Toolstation CG</x:v>
      </x:c>
      <x:c r="D53" s="43" t="n">
        <x:v>46188.416666666664</x:v>
      </x:c>
      <x:c r="E53" s="44" t="n">
        <x:v>17.64</x:v>
      </x:c>
      <x:c r="F53" s="42" t="str">
        <x:v>Materiaal</x:v>
      </x:c>
      <x:c r="G53" s="42" t="str">
        <x:v>Niet gekoppeld</x:v>
      </x:c>
      <x:c r="H53" s="45" t="str">
        <x:v>BEVERWIJK 15-06-2026 11:45 Pas: 3789</x:v>
      </x:c>
      <x:c r="I53" s="45" t="str"/>
      <x:c r="J53" s="45" t="str"/>
      <x:c r="K53" s="45" t="str"/>
      <x:c r="L53" s="46" t="str">
        <x:v>Geen relevante Gmail-mail of pdf gevonden op leverancier, bedrag, datum of uniek nummer.</x:v>
      </x:c>
    </x:row>
    <x:row r="54" ht="44" customHeight="1">
      <x:c r="A54" s="41" t="str">
        <x:v>Niet gevonden</x:v>
      </x:c>
      <x:c r="B54" s="42" t="str">
        <x:v>Van Brenen Transport</x:v>
      </x:c>
      <x:c r="C54" s="42" t="str">
        <x:v>CCV*Van Brenen Transpo</x:v>
      </x:c>
      <x:c r="D54" s="43" t="n">
        <x:v>46259.416666666664</x:v>
      </x:c>
      <x:c r="E54" s="44" t="n">
        <x:v>27.66</x:v>
      </x:c>
      <x:c r="F54" s="42" t="str">
        <x:v>Overig</x:v>
      </x:c>
      <x:c r="G54" s="42" t="str">
        <x:v>Niet gekoppeld</x:v>
      </x:c>
      <x:c r="H54" s="45" t="str">
        <x:v>DOORN 25-08-2026 11:14 Pas: 3789</x:v>
      </x:c>
      <x:c r="I54" s="45" t="str"/>
      <x:c r="J54" s="45" t="str"/>
      <x:c r="K54" s="45" t="str"/>
      <x:c r="L54" s="46" t="str">
        <x:v>Geen relevante Gmail-mail of pdf gevonden op leverancier, bedrag, datum of uniek nummer.</x:v>
      </x:c>
    </x:row>
    <x:row r="55" ht="44" customHeight="1">
      <x:c r="A55" s="41" t="str">
        <x:v>Niet gevonden</x:v>
      </x:c>
      <x:c r="B55" s="42" t="str">
        <x:v>Van Brenen Transport</x:v>
      </x:c>
      <x:c r="C55" s="42" t="str">
        <x:v>CCV*Van Brenen Transpo</x:v>
      </x:c>
      <x:c r="D55" s="43" t="n">
        <x:v>46253.416666666664</x:v>
      </x:c>
      <x:c r="E55" s="44" t="n">
        <x:v>101.25</x:v>
      </x:c>
      <x:c r="F55" s="42" t="str">
        <x:v>Afval</x:v>
      </x:c>
      <x:c r="G55" s="42" t="str">
        <x:v>Niet gekoppeld</x:v>
      </x:c>
      <x:c r="H55" s="45" t="str">
        <x:v>DOORN 19-08-2026 16:22 Pas: 3789</x:v>
      </x:c>
      <x:c r="I55" s="45" t="str"/>
      <x:c r="J55" s="45" t="str"/>
      <x:c r="K55" s="45" t="str"/>
      <x:c r="L55" s="46" t="str">
        <x:v>Geen relevante Gmail-mail of pdf gevonden op leverancier, bedrag, datum of uniek nummer.</x:v>
      </x:c>
    </x:row>
    <x:row r="56" ht="44" customHeight="1">
      <x:c r="A56" s="41" t="str">
        <x:v>Niet gevonden</x:v>
      </x:c>
      <x:c r="B56" s="42" t="str">
        <x:v>Van Brenen Transport</x:v>
      </x:c>
      <x:c r="C56" s="42" t="str">
        <x:v>CCV*Van Brenen Transpo</x:v>
      </x:c>
      <x:c r="D56" s="43" t="n">
        <x:v>46197.416666666664</x:v>
      </x:c>
      <x:c r="E56" s="44" t="n">
        <x:v>38.5</x:v>
      </x:c>
      <x:c r="F56" s="42" t="str">
        <x:v>Overig</x:v>
      </x:c>
      <x:c r="G56" s="42" t="str">
        <x:v>Niet gekoppeld</x:v>
      </x:c>
      <x:c r="H56" s="45" t="str">
        <x:v>DOORN 24-06-2026 12:41 Pas: 3789</x:v>
      </x:c>
      <x:c r="I56" s="45" t="str"/>
      <x:c r="J56" s="45" t="str"/>
      <x:c r="K56" s="45" t="str"/>
      <x:c r="L56" s="46" t="str">
        <x:v>Geen relevante Gmail-mail of pdf gevonden op leverancier, bedrag, datum of uniek nummer.</x:v>
      </x:c>
    </x:row>
    <x:row r="57" ht="44" customHeight="1">
      <x:c r="A57" s="41" t="str">
        <x:v>Niet gevonden</x:v>
      </x:c>
      <x:c r="B57" s="42" t="str">
        <x:v>VIA Amsterdam</x:v>
      </x:c>
      <x:c r="C57" s="42" t="str">
        <x:v>MS* VIAAMSTERDAM</x:v>
      </x:c>
      <x:c r="D57" s="43" t="n">
        <x:v>46258.416666666664</x:v>
      </x:c>
      <x:c r="E57" s="44" t="n">
        <x:v>3.39</x:v>
      </x:c>
      <x:c r="F57" s="42" t="str">
        <x:v>Hotel</x:v>
      </x:c>
      <x:c r="G57" s="42" t="str">
        <x:v>Niet gekoppeld</x:v>
      </x:c>
      <x:c r="H57" s="45" t="str">
        <x:v>AMSTERDAM 24-08-2026 08:04 Pas: 3789</x:v>
      </x:c>
      <x:c r="I57" s="45" t="str"/>
      <x:c r="J57" s="45" t="str"/>
      <x:c r="K57" s="45" t="str"/>
      <x:c r="L57" s="46" t="str">
        <x:v>Alleen de bankexport gaf een zoekhit; die telt niet als factuur of bon.</x:v>
      </x:c>
    </x:row>
    <x:row r="58" ht="44" customHeight="1">
      <x:c r="A58" s="41" t="str">
        <x:v>Niet gevonden</x:v>
      </x:c>
      <x:c r="B58" s="42" t="str">
        <x:v>VIA Amsterdam</x:v>
      </x:c>
      <x:c r="C58" s="42" t="str">
        <x:v>MS* VIAAMSTERDAM</x:v>
      </x:c>
      <x:c r="D58" s="43" t="n">
        <x:v>46216.416666666664</x:v>
      </x:c>
      <x:c r="E58" s="44" t="n">
        <x:v>3.39</x:v>
      </x:c>
      <x:c r="F58" s="42" t="str">
        <x:v>Hotel</x:v>
      </x:c>
      <x:c r="G58" s="42" t="str">
        <x:v>Niet gekoppeld</x:v>
      </x:c>
      <x:c r="H58" s="45" t="str">
        <x:v>AMSTERDAM 12-07-2026 10:06 Pas: 3789</x:v>
      </x:c>
      <x:c r="I58" s="45" t="str"/>
      <x:c r="J58" s="45" t="str"/>
      <x:c r="K58" s="45" t="str"/>
      <x:c r="L58" s="46" t="str">
        <x:v>Alleen de bankexport gaf een zoekhit; die telt niet als factuur of bon.</x:v>
      </x:c>
    </x:row>
    <x:row r="59" ht="44" customHeight="1">
      <x:c r="A59" s="41" t="str">
        <x:v>Niet gevonden</x:v>
      </x:c>
      <x:c r="B59" s="42" t="str">
        <x:v>VIA Amsterdam</x:v>
      </x:c>
      <x:c r="C59" s="42" t="str">
        <x:v>MS* VIAAMSTERDAM</x:v>
      </x:c>
      <x:c r="D59" s="43" t="n">
        <x:v>46199.416666666664</x:v>
      </x:c>
      <x:c r="E59" s="44" t="n">
        <x:v>3.39</x:v>
      </x:c>
      <x:c r="F59" s="42" t="str">
        <x:v>Hotel</x:v>
      </x:c>
      <x:c r="G59" s="42" t="str">
        <x:v>Niet gekoppeld</x:v>
      </x:c>
      <x:c r="H59" s="45" t="str">
        <x:v>AMSTERDAM 26-06-2026 06:43 Pas: 3789</x:v>
      </x:c>
      <x:c r="I59" s="45" t="str"/>
      <x:c r="J59" s="45" t="str"/>
      <x:c r="K59" s="45" t="str"/>
      <x:c r="L59" s="46" t="str">
        <x:v>Alleen de bankexport gaf een zoekhit; die telt niet als factuur of bon.</x:v>
      </x:c>
    </x:row>
    <x:row r="60" ht="44" customHeight="1">
      <x:c r="A60" s="41" t="str">
        <x:v>Niet gevonden</x:v>
      </x:c>
      <x:c r="B60" s="42" t="str">
        <x:v>VIA Amsterdam</x:v>
      </x:c>
      <x:c r="C60" s="42" t="str">
        <x:v>MS* VIAAMSTERDAM</x:v>
      </x:c>
      <x:c r="D60" s="43" t="n">
        <x:v>46198.416666666664</x:v>
      </x:c>
      <x:c r="E60" s="44" t="n">
        <x:v>3.39</x:v>
      </x:c>
      <x:c r="F60" s="42" t="str">
        <x:v>Hotel</x:v>
      </x:c>
      <x:c r="G60" s="42" t="str">
        <x:v>Niet gekoppeld</x:v>
      </x:c>
      <x:c r="H60" s="45" t="str">
        <x:v>AMSTERDAM 25-06-2026 06:35 Pas: 3789</x:v>
      </x:c>
      <x:c r="I60" s="45" t="str"/>
      <x:c r="J60" s="45" t="str"/>
      <x:c r="K60" s="45" t="str"/>
      <x:c r="L60" s="46" t="str">
        <x:v>Alleen de bankexport gaf een zoekhit; die telt niet als factuur of bon.</x:v>
      </x:c>
    </x:row>
    <x:row r="61" ht="44" customHeight="1">
      <x:c r="A61" s="41" t="str">
        <x:v>Niet gevonden</x:v>
      </x:c>
      <x:c r="B61" s="42" t="str">
        <x:v>VIA Amsterdam</x:v>
      </x:c>
      <x:c r="C61" s="42" t="str">
        <x:v>MS* VIAAMSTERDAM</x:v>
      </x:c>
      <x:c r="D61" s="43" t="n">
        <x:v>46195.416666666664</x:v>
      </x:c>
      <x:c r="E61" s="44" t="n">
        <x:v>3.3</x:v>
      </x:c>
      <x:c r="F61" s="42" t="str">
        <x:v>Hotel</x:v>
      </x:c>
      <x:c r="G61" s="42" t="str">
        <x:v>Niet gekoppeld</x:v>
      </x:c>
      <x:c r="H61" s="45" t="str">
        <x:v>AMSTERDAM 20-06-2026 03:56 Pas: 3789</x:v>
      </x:c>
      <x:c r="I61" s="45" t="str"/>
      <x:c r="J61" s="45" t="str"/>
      <x:c r="K61" s="45" t="str"/>
      <x:c r="L61" s="46" t="str">
        <x:v>Alleen de bankexport gaf een zoekhit; die telt niet als factuur of bon.</x:v>
      </x:c>
    </x:row>
    <x:row r="62" ht="44" customHeight="1">
      <x:c r="A62" s="47" t="str">
        <x:v>Gevonden</x:v>
      </x:c>
      <x:c r="B62" s="48" t="str">
        <x:v>XXL Direct</x:v>
      </x:c>
      <x:c r="C62" s="48" t="str">
        <x:v>xxldirect.nl</x:v>
      </x:c>
      <x:c r="D62" s="49" t="n">
        <x:v>46230.416666666664</x:v>
      </x:c>
      <x:c r="E62" s="50" t="n">
        <x:v>313.28</x:v>
      </x:c>
      <x:c r="F62" s="48" t="str">
        <x:v>Overig</x:v>
      </x:c>
      <x:c r="G62" s="48" t="str">
        <x:v>Niet gekoppeld</x:v>
      </x:c>
      <x:c r="H62" s="51" t="str">
        <x:v>36274604 8030204147821799 XXL Direct</x:v>
      </x:c>
      <x:c r="I62" s="51" t="str">
        <x:v>(No Subject), 27-08-2026</x:v>
      </x:c>
      <x:c r="J62" s="51" t="str">
        <x:v>Factuur_32531138.pdf</x:v>
      </x:c>
      <x:c r="K62" s="51" t="str">
        <x:v>https://mail.google.com/mail/#all/1a0439e1075227ad</x:v>
      </x:c>
      <x:c r="L62" s="52" t="str">
        <x:v>Factuur 32531138 / order 36274604, eindtotaal exact €313,28.</x:v>
      </x:c>
    </x:row>
  </x:sheetData>
  <x:mergeCells>
    <x:mergeCell ref="A1:L1"/>
    <x:mergeCell ref="A2:L2"/>
  </x:mergeCells>
  <x:conditionalFormatting sqref="A8:A62">
    <x:cfRule type="beginsWith" dxfId="6" priority="1" operator="beginsWith" text="Gevonden"/>
    <x:cfRule type="containsText" dxfId="7" priority="2" operator="containsText" text="Niet gevonden"/>
    <x:cfRule type="containsText" dxfId="8" priority="3" operator="containsText" text="Geen exacte match"/>
  </x:conditionalFormatting>
  <x:pageMargins left="0.7" right="0.7" top="0.75" bottom="0.75" header="0.3" footer="0.3"/>
  <x:tableParts count="1">
    <x:tablePart xmlns:r="http://schemas.openxmlformats.org/officeDocument/2006/relationships" r:id="R224524b4896840c4"/>
  </x:tableParts>
</x:worksheet>
</file>